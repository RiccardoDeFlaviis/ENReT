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IST" sheetId="2" state="visible" r:id="rId4"/>
    <sheet name="Bates_Watts" sheetId="3" state="visible" r:id="rId5"/>
    <sheet name="Esterase" sheetId="4" state="visible" r:id="rId6"/>
    <sheet name="ComBase" sheetId="5" state="visible" r:id="rId7"/>
    <sheet name="ComBase_B419_1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<sst xmlns="http://schemas.openxmlformats.org/spreadsheetml/2006/main" count="1572" uniqueCount="190">
  <si>
    <t xml:space="preserve">ENReT v1.0.0 — Numerical validation</t>
  </si>
  <si>
    <t xml:space="preserve">All results are computed by formulas from the other sheets. Criterion for certified or independently computed references: LRE ≥ 5 (at least 5 correct significant digits).</t>
  </si>
  <si>
    <t xml:space="preserve">Validation</t>
  </si>
  <si>
    <t xml:space="preserve">Reference</t>
  </si>
  <si>
    <t xml:space="preserve">Comparisons</t>
  </si>
  <si>
    <t xml:space="preserve">Minimum LRE</t>
  </si>
  <si>
    <t xml:space="preserve">LRE ≥ 5</t>
  </si>
  <si>
    <t xml:space="preserve">Share LRE ≥ 5</t>
  </si>
  <si>
    <t xml:space="preserve">Notes</t>
  </si>
  <si>
    <t xml:space="preserve">NIST: parameters and RSS</t>
  </si>
  <si>
    <t xml:space="preserve">Certified values (NIST)</t>
  </si>
  <si>
    <t xml:space="preserve">Roszman1: typo in the certified values (known); otherwise all ≥ 5.</t>
  </si>
  <si>
    <t xml:space="preserve">NIST: standard errors</t>
  </si>
  <si>
    <t xml:space="preserve">Lanczos1: certified RSS near the rounding limit (known).</t>
  </si>
  <si>
    <t xml:space="preserve">Bates &amp; Watts: parameters and RSS</t>
  </si>
  <si>
    <t xml:space="preserve">Exact minimum computed in R</t>
  </si>
  <si>
    <t xml:space="preserve">Independent computation, not certified values.</t>
  </si>
  <si>
    <t xml:space="preserve">Bates &amp; Watts: standard errors</t>
  </si>
  <si>
    <t xml:space="preserve">Esterase: weighted and unweighted</t>
  </si>
  <si>
    <t xml:space="preserve">R lm()</t>
  </si>
  <si>
    <t xml:space="preserve">Small differences from the published book values: see sheet Esterase.</t>
  </si>
  <si>
    <t xml:space="preserve">ComBase (agreement with a reference software)</t>
  </si>
  <si>
    <t xml:space="preserve">Parameters compared</t>
  </si>
  <si>
    <t xml:space="preserve">Median |z| (difference in ComBase SE)</t>
  </si>
  <si>
    <t xml:space="preserve">Share with |z| &lt; 0.5</t>
  </si>
  <si>
    <t xml:space="preserve">Share with |z| &lt; 1</t>
  </si>
  <si>
    <t xml:space="preserve">Maximum |z|</t>
  </si>
  <si>
    <t xml:space="preserve">Same model as ComBase (verified: the app's Integrated Baranyi Model on ln counts and the log10 custom formula agree to 7–8 digits). Lag and μmax of the app are a few % lower; the app's residual error is equal to or lower than ComBase's SE of Fit in 20 of 26 curves.</t>
  </si>
  <si>
    <t xml:space="preserve">Detailed checks on B419_12 (sheet ComBase_B419_12): the linear model, with a closed-form solution, agrees with ComBase in every digit (same data, standard errors and SE of Fit); with the Baranyi model the app's minimum has less than half the ComBase sum of squares and is better on every criterion. ComBase “R-square” is the adjusted R².</t>
  </si>
  <si>
    <t xml:space="preserve">NIST StRD — 26 nonlinear regression datasets</t>
  </si>
  <si>
    <t xml:space="preserve">Certified values: NIST Statistical Reference Datasets (files .dat). App: ENReT v1.0.0, model from “Models for Reference Data”, Levenberg-Marquardt, Max Iterations 1024.</t>
  </si>
  <si>
    <t xml:space="preserve">LRE = −log10(|App − Certified| / |Certified|), capped at 15 (identical values). Blue: input values; black: formulas. Known issues: Roszman1 (typo in the certified values), Lanczos1 (certified RSS near the rounding limit).</t>
  </si>
  <si>
    <t xml:space="preserve">Dataset</t>
  </si>
  <si>
    <t xml:space="preserve">Difficulty</t>
  </si>
  <si>
    <t xml:space="preserve">Start</t>
  </si>
  <si>
    <t xml:space="preserve">Quantity</t>
  </si>
  <si>
    <t xml:space="preserve">Certified</t>
  </si>
  <si>
    <t xml:space="preserve">App</t>
  </si>
  <si>
    <t xml:space="preserve">LRE</t>
  </si>
  <si>
    <t xml:space="preserve">SE certified</t>
  </si>
  <si>
    <t xml:space="preserve">SE app</t>
  </si>
  <si>
    <t xml:space="preserve">LRE SE</t>
  </si>
  <si>
    <t xml:space="preserve">Bennett5</t>
  </si>
  <si>
    <t xml:space="preserve">Higher Level of Difficulty</t>
  </si>
  <si>
    <t xml:space="preserve">b1</t>
  </si>
  <si>
    <t xml:space="preserve">b2</t>
  </si>
  <si>
    <t xml:space="preserve">b3</t>
  </si>
  <si>
    <t xml:space="preserve">RSS</t>
  </si>
  <si>
    <t xml:space="preserve">BoxBOD</t>
  </si>
  <si>
    <t xml:space="preserve">Chwirut1</t>
  </si>
  <si>
    <t xml:space="preserve">Lower Level of Difficulty</t>
  </si>
  <si>
    <t xml:space="preserve">Chwirut2</t>
  </si>
  <si>
    <t xml:space="preserve">DanWood</t>
  </si>
  <si>
    <t xml:space="preserve">Eckerle4</t>
  </si>
  <si>
    <t xml:space="preserve">ENSO</t>
  </si>
  <si>
    <t xml:space="preserve">Average Level of Difficulty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</si>
  <si>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</si>
  <si>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</si>
  <si>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</si>
  <si>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</si>
  <si>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</si>
  <si>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</si>
  <si>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Gauss1</t>
  </si>
  <si>
    <t xml:space="preserve">Gauss2</t>
  </si>
  <si>
    <t xml:space="preserve">Gauss3</t>
  </si>
  <si>
    <t xml:space="preserve">Hahn1</t>
  </si>
  <si>
    <t xml:space="preserve">Kirby2</t>
  </si>
  <si>
    <t xml:space="preserve">Lanczos1</t>
  </si>
  <si>
    <t xml:space="preserve">Lanczos2</t>
  </si>
  <si>
    <t xml:space="preserve">Lanczos3</t>
  </si>
  <si>
    <t xml:space="preserve">MGH09</t>
  </si>
  <si>
    <t xml:space="preserve">MGH10</t>
  </si>
  <si>
    <t xml:space="preserve">MGH17</t>
  </si>
  <si>
    <t xml:space="preserve">Misra1a</t>
  </si>
  <si>
    <t xml:space="preserve">Misra1b</t>
  </si>
  <si>
    <t xml:space="preserve">Misra1c</t>
  </si>
  <si>
    <t xml:space="preserve">Misra1d</t>
  </si>
  <si>
    <t xml:space="preserve">Rat42</t>
  </si>
  <si>
    <t xml:space="preserve">Rat43</t>
  </si>
  <si>
    <t xml:space="preserve">Roszman1</t>
  </si>
  <si>
    <t xml:space="preserve">Thurber</t>
  </si>
  <si>
    <t xml:space="preserve">Bates &amp; Watts (1988) — 15 reference models</t>
  </si>
  <si>
    <t xml:space="preserve">Reference: exact least-squares minimum computed in R with minpack.lm (nls.lm, tolerances 1e-16, restarted from the solution); standard errors s²(JᵀJ)⁻¹ at the minimum. Not certified values. The reference uses the same MINPACK Levenberg-Marquardt library as the app (tighter tolerances), hence some identical values (LRE = 15); independent check: R nls() (Gauss-Newton) agrees on the RSS to at least 10.4 digits.</t>
  </si>
  <si>
    <t xml:space="preserve">App: ENReT v1.0.0, model from “Models for Reference Data” with its starting values, Levenberg-Marquardt, Max Iterations 1024. LRE as in the NIST sheet.</t>
  </si>
  <si>
    <t xml:space="preserve">Model</t>
  </si>
  <si>
    <t xml:space="preserve">SE reference</t>
  </si>
  <si>
    <t xml:space="preserve">Puromycin, treated cells</t>
  </si>
  <si>
    <t xml:space="preserve">theta1</t>
  </si>
  <si>
    <t xml:space="preserve">theta2</t>
  </si>
  <si>
    <t xml:space="preserve">Puromycin, untreated cells</t>
  </si>
  <si>
    <t xml:space="preserve">BOD</t>
  </si>
  <si>
    <t xml:space="preserve">BOD2</t>
  </si>
  <si>
    <t xml:space="preserve">Chloride ion transport</t>
  </si>
  <si>
    <t xml:space="preserve">theta3</t>
  </si>
  <si>
    <t xml:space="preserve">Growth of leaves</t>
  </si>
  <si>
    <t xml:space="preserve">theta4</t>
  </si>
  <si>
    <t xml:space="preserve">Count Rumford's cooling experiment</t>
  </si>
  <si>
    <t xml:space="preserve">theta</t>
  </si>
  <si>
    <t xml:space="preserve">Pharmacokinetics of sulfisoxazole</t>
  </si>
  <si>
    <t xml:space="preserve">Pharmacokinetics of tetracycline</t>
  </si>
  <si>
    <t xml:space="preserve">Pharmacokinetics of saccharin</t>
  </si>
  <si>
    <t xml:space="preserve">PCB in Lake Cayuga trout</t>
  </si>
  <si>
    <t xml:space="preserve">beta1</t>
  </si>
  <si>
    <t xml:space="preserve">beta2</t>
  </si>
  <si>
    <t xml:space="preserve">Nitrite utilization, day 1 (model 1)</t>
  </si>
  <si>
    <t xml:space="preserve">Nitrite utilization, day 1 (model 2)</t>
  </si>
  <si>
    <t xml:space="preserve">Nitrite utilization, day 2 (model 1)</t>
  </si>
  <si>
    <t xml:space="preserve">Nitrite utilization, day 2 (model 2)</t>
  </si>
  <si>
    <t xml:space="preserve">Carroll &amp; Ruppert (1988) — Esterase assay, weighted least squares</t>
  </si>
  <si>
    <t xml:space="preserve">Data: Table 2.3 (108 observations, 5 asterisked observations excluded). Model b0 + b1·x. Reference: R lm() without weights, and with weights 1/fitted² iterated to convergence (ζ = 2).</t>
  </si>
  <si>
    <t xml:space="preserve">Book: Example 2.2, pp. 48–51 (published values, 2–4 significant digits). The small differences from the book are already present without weighting (see the statistical document, section 4.3).</t>
  </si>
  <si>
    <t xml:space="preserve">Weighting</t>
  </si>
  <si>
    <t xml:space="preserve">Reference (R)</t>
  </si>
  <si>
    <t xml:space="preserve">Book</t>
  </si>
  <si>
    <t xml:space="preserve">Difference app vs book (%)</t>
  </si>
  <si>
    <t xml:space="preserve">None</t>
  </si>
  <si>
    <t xml:space="preserve">b0</t>
  </si>
  <si>
    <t xml:space="preserve">se_b0</t>
  </si>
  <si>
    <t xml:space="preserve">se_b1</t>
  </si>
  <si>
    <t xml:space="preserve">sigma</t>
  </si>
  <si>
    <t xml:space="preserve">1/ŷ² (ζ = 2)</t>
  </si>
  <si>
    <t xml:space="preserve">ComBase — 26 Salmonella growth curves, Baranyi &amp; Roberts model</t>
  </si>
  <si>
    <t xml:space="preserve">ComBase: parameters from the ComBase fit (Baranyi &amp; Roberts, 1994, n = m = 1, fitted on ln counts, reported in log10). App: custom formula, the same model written for log10 counts (24 complete curves; 2 without asymptote: y = N0 + μ·A(t)).</t>
  </si>
  <si>
    <t xml:space="preserve">Differences in % and in ComBase standard errors (z = (App − ComBase) / SE ComBase). ComBase values are rounded to 3–4 digits, so LRE is not used. SE of Fit (ComBase) and RMSE (app) are the same quantity, √[SSE/(n − p)].</t>
  </si>
  <si>
    <t xml:space="preserve">Series</t>
  </si>
  <si>
    <t xml:space="preserve">Parameter</t>
  </si>
  <si>
    <t xml:space="preserve">ComBase</t>
  </si>
  <si>
    <t xml:space="preserve">SE ComBase</t>
  </si>
  <si>
    <t xml:space="preserve">Difference (%)</t>
  </si>
  <si>
    <t xml:space="preserve">Difference in SE (z)</t>
  </si>
  <si>
    <t xml:space="preserve">|z|</t>
  </si>
  <si>
    <t xml:space="preserve">Difference of SE (%)</t>
  </si>
  <si>
    <t xml:space="preserve">B092_25</t>
  </si>
  <si>
    <t xml:space="preserve">complete</t>
  </si>
  <si>
    <t xml:space="preserve">N0</t>
  </si>
  <si>
    <t xml:space="preserve">lag</t>
  </si>
  <si>
    <t xml:space="preserve">mu_max</t>
  </si>
  <si>
    <t xml:space="preserve">log_Nmax</t>
  </si>
  <si>
    <t xml:space="preserve">SE of Fit / RMSE</t>
  </si>
  <si>
    <t xml:space="preserve">R-square (adjusted)</t>
  </si>
  <si>
    <t xml:space="preserve">B092_45</t>
  </si>
  <si>
    <t xml:space="preserve">B092_4</t>
  </si>
  <si>
    <t xml:space="preserve">B092_32</t>
  </si>
  <si>
    <t xml:space="preserve">B092_17</t>
  </si>
  <si>
    <t xml:space="preserve">B146_1</t>
  </si>
  <si>
    <t xml:space="preserve">B146_2</t>
  </si>
  <si>
    <t xml:space="preserve">no asymptote</t>
  </si>
  <si>
    <t xml:space="preserve">B132_1</t>
  </si>
  <si>
    <t xml:space="preserve">B132_2</t>
  </si>
  <si>
    <t xml:space="preserve">B419_12</t>
  </si>
  <si>
    <t xml:space="preserve">B301_75</t>
  </si>
  <si>
    <t xml:space="preserve">B301_79</t>
  </si>
  <si>
    <t xml:space="preserve">B301_82</t>
  </si>
  <si>
    <t xml:space="preserve">B301_81</t>
  </si>
  <si>
    <t xml:space="preserve">B092_26</t>
  </si>
  <si>
    <t xml:space="preserve">B092_30</t>
  </si>
  <si>
    <t xml:space="preserve">B092_43</t>
  </si>
  <si>
    <t xml:space="preserve">B092_14</t>
  </si>
  <si>
    <t xml:space="preserve">B092_56</t>
  </si>
  <si>
    <t xml:space="preserve">B092_108</t>
  </si>
  <si>
    <t xml:space="preserve">B092_109</t>
  </si>
  <si>
    <t xml:space="preserve">B092_27</t>
  </si>
  <si>
    <t xml:space="preserve">B092_16</t>
  </si>
  <si>
    <t xml:space="preserve">B092_10</t>
  </si>
  <si>
    <t xml:space="preserve">B104</t>
  </si>
  <si>
    <t xml:space="preserve">B130</t>
  </si>
  <si>
    <t xml:space="preserve">ComBase — detailed checks on series B419_12 (same 10 data points)</t>
  </si>
  <si>
    <t xml:space="preserve">Linear model: closed-form solution, no iterative algorithm, so it checks data, standard errors and SE of Fit. Baranyi &amp; Roberts: ComBase parameters vs the least-squares minimum found by the app with the same model.</t>
  </si>
  <si>
    <t xml:space="preserve">ComBase “R-square” corresponds to the adjusted R². Blue: input values; black: formulas.</t>
  </si>
  <si>
    <t xml:space="preserve">1. Linear model</t>
  </si>
  <si>
    <t xml:space="preserve">Initial value</t>
  </si>
  <si>
    <t xml:space="preserve">SE initial value</t>
  </si>
  <si>
    <t xml:space="preserve">Max. Rate</t>
  </si>
  <si>
    <t xml:space="preserve">SE max. rate</t>
  </si>
  <si>
    <t xml:space="preserve">2. Baranyi &amp; Roberts, complete model</t>
  </si>
  <si>
    <t xml:space="preserve">App (least-squares minimum)</t>
  </si>
  <si>
    <t xml:space="preserve">Lag/shoulder (h)</t>
  </si>
  <si>
    <t xml:space="preserve">SE lag</t>
  </si>
  <si>
    <t xml:space="preserve">MPD</t>
  </si>
  <si>
    <t xml:space="preserve">SE MPD</t>
  </si>
  <si>
    <t xml:space="preserve">3. Criteria evaluated at the two parameter sets (lower is better)</t>
  </si>
  <si>
    <t xml:space="preserve">Criterion</t>
  </si>
  <si>
    <t xml:space="preserve">ComBase parameters</t>
  </si>
  <si>
    <t xml:space="preserve">App parameters</t>
  </si>
  <si>
    <t xml:space="preserve">Ratio app / ComBase</t>
  </si>
  <si>
    <t xml:space="preserve">Sum of squares (log10)</t>
  </si>
  <si>
    <t xml:space="preserve">Sum of squares (ln)</t>
  </si>
  <si>
    <t xml:space="preserve">Sum of absolute residuals</t>
  </si>
  <si>
    <t xml:space="preserve">Maximum absolute residual</t>
  </si>
  <si>
    <t xml:space="preserve">The app's least-squares minimum is better on every criterion: the ComBase fit stops before the minimum of the same model on the same data.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</si>
</sst>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.0%"/>
    <numFmt numFmtId="167" formatCode="0"/>
    <numFmt numFmtId="168" formatCode="0.00"/>
    <numFmt numFmtId="169" formatCode="0.000000000E+00"/>
    <numFmt numFmtId="170" formatCode="0.00%"/>
    <numFmt numFmtId="171" formatCode="0.000000"/>
    <numFmt numFmtId="172" formatCode="0.0000000"/>
    <numFmt numFmtId="173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s">
        <v>10</v>
      </c>
      <c r="C5" s="6" t="n">
        <f aca="false">COUNT(NIST!G6:G291)</f>
        <v>286</v>
      </c>
      <c r="D5" s="7" t="n">
        <f aca="false">MIN(NIST!G6:G291)</f>
        <v>0.0798931454551986</v>
      </c>
      <c r="E5" s="6" t="n">
        <f aca="false">COUNTIF(NIST!G6:G291,"&gt;=5")</f>
        <v>282</v>
      </c>
      <c r="F5" s="8" t="n">
        <f aca="false">E5/C5</f>
        <v>0.986013986013986</v>
      </c>
      <c r="G5" s="6" t="s">
        <v>11</v>
      </c>
    </row>
    <row r="6" customFormat="false" ht="15" hidden="false" customHeight="true" outlineLevel="0" collapsed="false">
      <c r="A6" s="5" t="s">
        <v>12</v>
      </c>
      <c r="B6" s="6" t="s">
        <v>10</v>
      </c>
      <c r="C6" s="6" t="n">
        <f aca="false">COUNT(NIST!J6:J291)</f>
        <v>234</v>
      </c>
      <c r="D6" s="7" t="n">
        <f aca="false">MIN(NIST!J6:J291)</f>
        <v>2.98423053980983</v>
      </c>
      <c r="E6" s="6" t="n">
        <f aca="false">COUNTIF(NIST!J6:J291,"&gt;=5")</f>
        <v>222</v>
      </c>
      <c r="F6" s="8" t="n">
        <f aca="false">E6/C6</f>
        <v>0.948717948717949</v>
      </c>
      <c r="G6" s="6" t="s">
        <v>13</v>
      </c>
    </row>
    <row r="7" customFormat="false" ht="15" hidden="false" customHeight="true" outlineLevel="0" collapsed="false">
      <c r="A7" s="5" t="s">
        <v>14</v>
      </c>
      <c r="B7" s="6" t="s">
        <v>15</v>
      </c>
      <c r="C7" s="6" t="n">
        <f aca="false">COUNT(Bates_Watts!E6:E62)</f>
        <v>57</v>
      </c>
      <c r="D7" s="7" t="n">
        <f aca="false">MIN(Bates_Watts!E6:E62)</f>
        <v>6.2752013296084</v>
      </c>
      <c r="E7" s="6" t="n">
        <f aca="false">COUNTIF(Bates_Watts!E6:E62,"&gt;=5")</f>
        <v>57</v>
      </c>
      <c r="F7" s="8" t="n">
        <f aca="false">E7/C7</f>
        <v>1</v>
      </c>
      <c r="G7" s="6" t="s">
        <v>16</v>
      </c>
    </row>
    <row r="8" customFormat="false" ht="15" hidden="false" customHeight="true" outlineLevel="0" collapsed="false">
      <c r="A8" s="5" t="s">
        <v>17</v>
      </c>
      <c r="B8" s="6" t="s">
        <v>15</v>
      </c>
      <c r="C8" s="6" t="n">
        <f aca="false">COUNT(Bates_Watts!H6:H62)</f>
        <v>42</v>
      </c>
      <c r="D8" s="7" t="n">
        <f aca="false">MIN(Bates_Watts!H6:H62)</f>
        <v>5.39333494077444</v>
      </c>
      <c r="E8" s="6" t="n">
        <f aca="false">COUNTIF(Bates_Watts!H6:H62,"&gt;=5")</f>
        <v>42</v>
      </c>
      <c r="F8" s="8" t="n">
        <f aca="false">E8/C8</f>
        <v>1</v>
      </c>
      <c r="G8" s="6"/>
    </row>
    <row r="9" customFormat="false" ht="15" hidden="false" customHeight="true" outlineLevel="0" collapsed="false">
      <c r="A9" s="5" t="s">
        <v>18</v>
      </c>
      <c r="B9" s="6" t="s">
        <v>19</v>
      </c>
      <c r="C9" s="6" t="n">
        <f aca="false">COUNT(Esterase!E6:E15)</f>
        <v>10</v>
      </c>
      <c r="D9" s="7" t="n">
        <f aca="false">MIN(Esterase!E6:E15)</f>
        <v>9.37735196205364</v>
      </c>
      <c r="E9" s="6" t="n">
        <f aca="false">COUNTIF(Esterase!E6:E15,"&gt;=5")</f>
        <v>10</v>
      </c>
      <c r="F9" s="8" t="n">
        <f aca="false">E9/C9</f>
        <v>1</v>
      </c>
      <c r="G9" s="6" t="s">
        <v>20</v>
      </c>
    </row>
    <row r="11" customFormat="false" ht="15" hidden="false" customHeight="true" outlineLevel="0" collapsed="false">
      <c r="A11" s="9" t="s">
        <v>21</v>
      </c>
    </row>
    <row r="12" customFormat="false" ht="15" hidden="false" customHeight="true" outlineLevel="0" collapsed="false">
      <c r="A12" s="6" t="s">
        <v>22</v>
      </c>
      <c r="C12" s="10" t="n">
        <f aca="false">COUNT(ComBase!J6:J159)</f>
        <v>102</v>
      </c>
    </row>
    <row r="13" customFormat="false" ht="15" hidden="false" customHeight="true" outlineLevel="0" collapsed="false">
      <c r="A13" s="6" t="s">
        <v>23</v>
      </c>
      <c r="C13" s="11" t="n">
        <f aca="false">MEDIAN(ComBase!J6:J159)</f>
        <v>0.218379105424227</v>
      </c>
    </row>
    <row r="14" customFormat="false" ht="15" hidden="false" customHeight="true" outlineLevel="0" collapsed="false">
      <c r="A14" s="6" t="s">
        <v>24</v>
      </c>
      <c r="C14" s="8" t="n">
        <f aca="false">COUNTIF(ComBase!J6:J159,"&lt;0.5")/COUNT(ComBase!J6:J159)</f>
        <v>0.735294117647059</v>
      </c>
    </row>
    <row r="15" customFormat="false" ht="15" hidden="false" customHeight="true" outlineLevel="0" collapsed="false">
      <c r="A15" s="6" t="s">
        <v>25</v>
      </c>
      <c r="C15" s="8" t="n">
        <f aca="false">COUNTIF(ComBase!J6:J159,"&lt;1")/COUNT(ComBase!J6:J159)</f>
        <v>0.892156862745098</v>
      </c>
    </row>
    <row r="16" customFormat="false" ht="15" hidden="false" customHeight="true" outlineLevel="0" collapsed="false">
      <c r="A16" s="6" t="s">
        <v>26</v>
      </c>
      <c r="C16" s="11" t="n">
        <f aca="false">MAX(ComBase!J6:J159)</f>
        <v>2.09119092544061</v>
      </c>
    </row>
    <row r="18" customFormat="false" ht="15" hidden="false" customHeight="true" outlineLevel="0" collapsed="false">
      <c r="A18" s="3" t="s">
        <v>27</v>
      </c>
    </row>
    <row r="19" customFormat="false" ht="15" hidden="false" customHeight="true" outlineLevel="0" collapsed="false">
      <c r="A19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6" min="5" style="1" width="22"/>
    <col collapsed="false" customWidth="true" hidden="false" outlineLevel="0" max="7" min="7" style="1" width="8"/>
    <col collapsed="false" customWidth="true" hidden="false" outlineLevel="0" max="9" min="8" style="1" width="22"/>
    <col collapsed="false" customWidth="true" hidden="false" outlineLevel="0" max="10" min="10" style="1" width="8"/>
  </cols>
  <sheetData>
    <row r="1" customFormat="false" ht="17.2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</row>
    <row r="3" customFormat="false" ht="15" hidden="false" customHeight="true" outlineLevel="0" collapsed="false">
      <c r="A3" s="3" t="s">
        <v>31</v>
      </c>
    </row>
    <row r="5" customFormat="false" ht="30" hidden="false" customHeight="true" outlineLevel="0" collapsed="false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</row>
    <row r="6" customFormat="false" ht="15" hidden="false" customHeight="true" outlineLevel="0" collapsed="false">
      <c r="A6" s="6" t="s">
        <v>42</v>
      </c>
      <c r="B6" s="6" t="s">
        <v>43</v>
      </c>
      <c r="C6" s="6" t="n">
        <v>1</v>
      </c>
      <c r="D6" s="6" t="s">
        <v>44</v>
      </c>
      <c r="E6" s="12" t="n">
        <v>-2523.5058043</v>
      </c>
      <c r="F6" s="12" t="n">
        <v>-2523.50580430242</v>
      </c>
      <c r="G6" s="7" t="n">
        <f aca="false">IF(F6="","",IF(F6=E6,15,MIN(15,-LOG10(ABS(F6-E6)/ABS(E6)))))</f>
        <v>12.0181592599967</v>
      </c>
      <c r="H6" s="12" t="n">
        <v>297.15175411</v>
      </c>
      <c r="I6" s="12" t="n">
        <v>297.1517411016</v>
      </c>
      <c r="J6" s="7" t="n">
        <f aca="false">IF(I6="","",IF(I6=H6,15,MIN(15,-LOG10(ABS(I6-H6)/ABS(H6)))))</f>
        <v>7.35875441542897</v>
      </c>
    </row>
    <row r="7" customFormat="false" ht="15" hidden="false" customHeight="true" outlineLevel="0" collapsed="false">
      <c r="A7" s="6" t="s">
        <v>42</v>
      </c>
      <c r="B7" s="6" t="s">
        <v>43</v>
      </c>
      <c r="C7" s="6" t="n">
        <v>1</v>
      </c>
      <c r="D7" s="6" t="s">
        <v>45</v>
      </c>
      <c r="E7" s="12" t="n">
        <v>46.736564644</v>
      </c>
      <c r="F7" s="12" t="n">
        <v>46.7365646435668</v>
      </c>
      <c r="G7" s="7" t="n">
        <f aca="false">IF(F7="","",IF(F7=E7,15,MIN(15,-LOG10(ABS(F7-E7)/ABS(E7)))))</f>
        <v>11.03297175752</v>
      </c>
      <c r="H7" s="12" t="n">
        <v>1.2448871856</v>
      </c>
      <c r="I7" s="12" t="n">
        <v>1.24488713106231</v>
      </c>
      <c r="J7" s="7" t="n">
        <f aca="false">IF(I7="","",IF(I7=H7,15,MIN(15,-LOG10(ABS(I7-H7)/ABS(H7)))))</f>
        <v>7.35843325813308</v>
      </c>
    </row>
    <row r="8" customFormat="false" ht="15" hidden="false" customHeight="true" outlineLevel="0" collapsed="false">
      <c r="A8" s="6" t="s">
        <v>42</v>
      </c>
      <c r="B8" s="6" t="s">
        <v>43</v>
      </c>
      <c r="C8" s="6" t="n">
        <v>1</v>
      </c>
      <c r="D8" s="6" t="s">
        <v>46</v>
      </c>
      <c r="E8" s="12" t="n">
        <v>0.93218483193</v>
      </c>
      <c r="F8" s="12" t="n">
        <v>0.93218483193309</v>
      </c>
      <c r="G8" s="7" t="n">
        <f aca="false">IF(F8="","",IF(F8=E8,15,MIN(15,-LOG10(ABS(F8-E8)/ABS(E8)))))</f>
        <v>11.4795473864714</v>
      </c>
      <c r="H8" s="12" t="n">
        <v>0.020272299378</v>
      </c>
      <c r="I8" s="12" t="n">
        <v>0.0202722984908489</v>
      </c>
      <c r="J8" s="7" t="n">
        <f aca="false">IF(I8="","",IF(I8=H8,15,MIN(15,-LOG10(ABS(I8-H8)/ABS(H8)))))</f>
        <v>7.35890541623633</v>
      </c>
    </row>
    <row r="9" customFormat="false" ht="15" hidden="false" customHeight="true" outlineLevel="0" collapsed="false">
      <c r="A9" s="6" t="s">
        <v>42</v>
      </c>
      <c r="B9" s="6" t="s">
        <v>43</v>
      </c>
      <c r="C9" s="6" t="n">
        <v>1</v>
      </c>
      <c r="D9" s="6" t="s">
        <v>47</v>
      </c>
      <c r="E9" s="12" t="n">
        <v>0.00052404744073</v>
      </c>
      <c r="F9" s="12" t="n">
        <v>0.000524047440726184</v>
      </c>
      <c r="G9" s="7" t="n">
        <f aca="false">IF(F9="","",IF(F9=E9,15,MIN(15,-LOG10(ABS(F9-E9)/ABS(E9)))))</f>
        <v>11.1377546830424</v>
      </c>
      <c r="H9" s="12"/>
      <c r="I9" s="12"/>
      <c r="J9" s="7"/>
    </row>
    <row r="10" customFormat="false" ht="15" hidden="false" customHeight="true" outlineLevel="0" collapsed="false">
      <c r="A10" s="6" t="s">
        <v>42</v>
      </c>
      <c r="B10" s="6" t="s">
        <v>43</v>
      </c>
      <c r="C10" s="6" t="n">
        <v>2</v>
      </c>
      <c r="D10" s="6" t="s">
        <v>44</v>
      </c>
      <c r="E10" s="12" t="n">
        <v>-2523.5058043</v>
      </c>
      <c r="F10" s="12" t="n">
        <v>-2523.50580430435</v>
      </c>
      <c r="G10" s="7" t="n">
        <f aca="false">IF(F10="","",IF(F10=E10,15,MIN(15,-LOG10(ABS(F10-E10)/ABS(E10)))))</f>
        <v>11.7635037536762</v>
      </c>
      <c r="H10" s="12" t="n">
        <v>297.15175411</v>
      </c>
      <c r="I10" s="12" t="n">
        <v>297.151765719653</v>
      </c>
      <c r="J10" s="7" t="n">
        <f aca="false">IF(I10="","",IF(I10=H10,15,MIN(15,-LOG10(ABS(I10-H10)/ABS(H10)))))</f>
        <v>7.40815905997267</v>
      </c>
    </row>
    <row r="11" customFormat="false" ht="15" hidden="false" customHeight="true" outlineLevel="0" collapsed="false">
      <c r="A11" s="6" t="s">
        <v>42</v>
      </c>
      <c r="B11" s="6" t="s">
        <v>43</v>
      </c>
      <c r="C11" s="6" t="n">
        <v>2</v>
      </c>
      <c r="D11" s="6" t="s">
        <v>45</v>
      </c>
      <c r="E11" s="12" t="n">
        <v>46.736564644</v>
      </c>
      <c r="F11" s="12" t="n">
        <v>46.7365646435749</v>
      </c>
      <c r="G11" s="7" t="n">
        <f aca="false">IF(F11="","",IF(F11=E11,15,MIN(15,-LOG10(ABS(F11-E11)/ABS(E11)))))</f>
        <v>11.0411693568896</v>
      </c>
      <c r="H11" s="12" t="n">
        <v>1.2448871856</v>
      </c>
      <c r="I11" s="12" t="n">
        <v>1.24488723418754</v>
      </c>
      <c r="J11" s="7" t="n">
        <f aca="false">IF(I11="","",IF(I11=H11,15,MIN(15,-LOG10(ABS(I11-H11)/ABS(H11)))))</f>
        <v>7.40860508341619</v>
      </c>
    </row>
    <row r="12" customFormat="false" ht="15" hidden="false" customHeight="true" outlineLevel="0" collapsed="false">
      <c r="A12" s="6" t="s">
        <v>42</v>
      </c>
      <c r="B12" s="6" t="s">
        <v>43</v>
      </c>
      <c r="C12" s="6" t="n">
        <v>2</v>
      </c>
      <c r="D12" s="6" t="s">
        <v>46</v>
      </c>
      <c r="E12" s="12" t="n">
        <v>0.93218483193</v>
      </c>
      <c r="F12" s="12" t="n">
        <v>0.932184831932959</v>
      </c>
      <c r="G12" s="7" t="n">
        <f aca="false">IF(F12="","",IF(F12=E12,15,MIN(15,-LOG10(ABS(F12-E12)/ABS(E12)))))</f>
        <v>11.4983619976149</v>
      </c>
      <c r="H12" s="12" t="n">
        <v>0.020272299378</v>
      </c>
      <c r="I12" s="12" t="n">
        <v>0.0202723001703076</v>
      </c>
      <c r="J12" s="7" t="n">
        <f aca="false">IF(I12="","",IF(I12=H12,15,MIN(15,-LOG10(ABS(I12-H12)/ABS(H12)))))</f>
        <v>7.40800918856905</v>
      </c>
    </row>
    <row r="13" customFormat="false" ht="15" hidden="false" customHeight="true" outlineLevel="0" collapsed="false">
      <c r="A13" s="6" t="s">
        <v>42</v>
      </c>
      <c r="B13" s="6" t="s">
        <v>43</v>
      </c>
      <c r="C13" s="6" t="n">
        <v>2</v>
      </c>
      <c r="D13" s="6" t="s">
        <v>47</v>
      </c>
      <c r="E13" s="12" t="n">
        <v>0.00052404744073</v>
      </c>
      <c r="F13" s="12" t="n">
        <v>0.000524047440726336</v>
      </c>
      <c r="G13" s="7" t="n">
        <f aca="false">IF(F13="","",IF(F13=E13,15,MIN(15,-LOG10(ABS(F13-E13)/ABS(E13)))))</f>
        <v>11.1554078804294</v>
      </c>
      <c r="H13" s="12"/>
      <c r="I13" s="12"/>
      <c r="J13" s="7"/>
    </row>
    <row r="14" customFormat="false" ht="15" hidden="false" customHeight="true" outlineLevel="0" collapsed="false">
      <c r="A14" s="6" t="s">
        <v>48</v>
      </c>
      <c r="B14" s="6" t="s">
        <v>43</v>
      </c>
      <c r="C14" s="6" t="n">
        <v>1</v>
      </c>
      <c r="D14" s="6" t="s">
        <v>44</v>
      </c>
      <c r="E14" s="12" t="n">
        <v>213.80940889</v>
      </c>
      <c r="F14" s="12" t="n">
        <v>213.809411142065</v>
      </c>
      <c r="G14" s="7" t="n">
        <f aca="false">IF(F14="","",IF(F14=E14,15,MIN(15,-LOG10(ABS(F14-E14)/ABS(E14)))))</f>
        <v>7.97744589130792</v>
      </c>
      <c r="H14" s="12" t="n">
        <v>12.354515176</v>
      </c>
      <c r="I14" s="12" t="n">
        <v>12.3545168717547</v>
      </c>
      <c r="J14" s="7" t="n">
        <f aca="false">IF(I14="","",IF(I14=H14,15,MIN(15,-LOG10(ABS(I14-H14)/ABS(H14)))))</f>
        <v>6.86246267747946</v>
      </c>
    </row>
    <row r="15" customFormat="false" ht="15" hidden="false" customHeight="true" outlineLevel="0" collapsed="false">
      <c r="A15" s="6" t="s">
        <v>48</v>
      </c>
      <c r="B15" s="6" t="s">
        <v>43</v>
      </c>
      <c r="C15" s="6" t="n">
        <v>1</v>
      </c>
      <c r="D15" s="6" t="s">
        <v>45</v>
      </c>
      <c r="E15" s="12" t="n">
        <v>0.54723748542</v>
      </c>
      <c r="F15" s="12" t="n">
        <v>0.547237459308824</v>
      </c>
      <c r="G15" s="7" t="n">
        <f aca="false">IF(F15="","",IF(F15=E15,15,MIN(15,-LOG10(ABS(F15-E15)/ABS(E15)))))</f>
        <v>7.32134940654202</v>
      </c>
      <c r="H15" s="12" t="n">
        <v>0.10455993237</v>
      </c>
      <c r="I15" s="12" t="n">
        <v>0.104559906136059</v>
      </c>
      <c r="J15" s="7" t="n">
        <f aca="false">IF(I15="","",IF(I15=H15,15,MIN(15,-LOG10(ABS(I15-H15)/ABS(H15)))))</f>
        <v>6.60050175632175</v>
      </c>
    </row>
    <row r="16" customFormat="false" ht="15" hidden="false" customHeight="true" outlineLevel="0" collapsed="false">
      <c r="A16" s="6" t="s">
        <v>48</v>
      </c>
      <c r="B16" s="6" t="s">
        <v>43</v>
      </c>
      <c r="C16" s="6" t="n">
        <v>1</v>
      </c>
      <c r="D16" s="6" t="s">
        <v>47</v>
      </c>
      <c r="E16" s="12" t="n">
        <v>1168.0088766</v>
      </c>
      <c r="F16" s="12" t="n">
        <v>1168.00887655557</v>
      </c>
      <c r="G16" s="7" t="n">
        <f aca="false">IF(F16="","",IF(F16=E16,15,MIN(15,-LOG10(ABS(F16-E16)/ABS(E16)))))</f>
        <v>10.419770289014</v>
      </c>
      <c r="H16" s="12"/>
      <c r="I16" s="12"/>
      <c r="J16" s="7"/>
    </row>
    <row r="17" customFormat="false" ht="15" hidden="false" customHeight="true" outlineLevel="0" collapsed="false">
      <c r="A17" s="6" t="s">
        <v>48</v>
      </c>
      <c r="B17" s="6" t="s">
        <v>43</v>
      </c>
      <c r="C17" s="6" t="n">
        <v>2</v>
      </c>
      <c r="D17" s="6" t="s">
        <v>44</v>
      </c>
      <c r="E17" s="12" t="n">
        <v>213.80940889</v>
      </c>
      <c r="F17" s="12" t="n">
        <v>213.809412302726</v>
      </c>
      <c r="G17" s="7" t="n">
        <f aca="false">IF(F17="","",IF(F17=E17,15,MIN(15,-LOG10(ABS(F17-E17)/ABS(E17)))))</f>
        <v>7.79692538958579</v>
      </c>
      <c r="H17" s="12" t="n">
        <v>12.354515176</v>
      </c>
      <c r="I17" s="12" t="n">
        <v>12.3545177456162</v>
      </c>
      <c r="J17" s="7" t="n">
        <f aca="false">IF(I17="","",IF(I17=H17,15,MIN(15,-LOG10(ABS(I17-H17)/ABS(H17)))))</f>
        <v>6.68195744564116</v>
      </c>
    </row>
    <row r="18" customFormat="false" ht="15" hidden="false" customHeight="true" outlineLevel="0" collapsed="false">
      <c r="A18" s="6" t="s">
        <v>48</v>
      </c>
      <c r="B18" s="6" t="s">
        <v>43</v>
      </c>
      <c r="C18" s="6" t="n">
        <v>2</v>
      </c>
      <c r="D18" s="6" t="s">
        <v>45</v>
      </c>
      <c r="E18" s="12" t="n">
        <v>0.54723748542</v>
      </c>
      <c r="F18" s="12" t="n">
        <v>0.547237445849768</v>
      </c>
      <c r="G18" s="7" t="n">
        <f aca="false">IF(F18="","",IF(F18=E18,15,MIN(15,-LOG10(ABS(F18-E18)/ABS(E18)))))</f>
        <v>7.14080724230768</v>
      </c>
      <c r="H18" s="12" t="n">
        <v>0.10455993237</v>
      </c>
      <c r="I18" s="12" t="n">
        <v>0.104559892613295</v>
      </c>
      <c r="J18" s="7" t="n">
        <f aca="false">IF(I18="","",IF(I18=H18,15,MIN(15,-LOG10(ABS(I18-H18)/ABS(H18)))))</f>
        <v>6.4199549104147</v>
      </c>
    </row>
    <row r="19" customFormat="false" ht="15" hidden="false" customHeight="true" outlineLevel="0" collapsed="false">
      <c r="A19" s="6" t="s">
        <v>48</v>
      </c>
      <c r="B19" s="6" t="s">
        <v>43</v>
      </c>
      <c r="C19" s="6" t="n">
        <v>2</v>
      </c>
      <c r="D19" s="6" t="s">
        <v>47</v>
      </c>
      <c r="E19" s="12" t="n">
        <v>1168.0088766</v>
      </c>
      <c r="F19" s="12" t="n">
        <v>1168.00887655559</v>
      </c>
      <c r="G19" s="7" t="n">
        <f aca="false">IF(F19="","",IF(F19=E19,15,MIN(15,-LOG10(ABS(F19-E19)/ABS(E19)))))</f>
        <v>10.419965916161</v>
      </c>
      <c r="H19" s="12"/>
      <c r="I19" s="12"/>
      <c r="J19" s="7"/>
    </row>
    <row r="20" customFormat="false" ht="15" hidden="false" customHeight="true" outlineLevel="0" collapsed="false">
      <c r="A20" s="6" t="s">
        <v>49</v>
      </c>
      <c r="B20" s="6" t="s">
        <v>50</v>
      </c>
      <c r="C20" s="6" t="n">
        <v>1</v>
      </c>
      <c r="D20" s="6" t="s">
        <v>44</v>
      </c>
      <c r="E20" s="12" t="n">
        <v>0.1902781837</v>
      </c>
      <c r="F20" s="12" t="n">
        <v>0.190278183046965</v>
      </c>
      <c r="G20" s="7" t="n">
        <f aca="false">IF(F20="","",IF(F20=E20,15,MIN(15,-LOG10(ABS(F20-E20)/ABS(E20)))))</f>
        <v>8.46445254742171</v>
      </c>
      <c r="H20" s="12" t="n">
        <v>0.021938557035</v>
      </c>
      <c r="I20" s="12" t="n">
        <v>0.0219385562538173</v>
      </c>
      <c r="J20" s="7" t="n">
        <f aca="false">IF(I20="","",IF(I20=H20,15,MIN(15,-LOG10(ABS(I20-H20)/ABS(H20)))))</f>
        <v>7.44845544141116</v>
      </c>
    </row>
    <row r="21" customFormat="false" ht="15" hidden="false" customHeight="true" outlineLevel="0" collapsed="false">
      <c r="A21" s="6" t="s">
        <v>49</v>
      </c>
      <c r="B21" s="6" t="s">
        <v>50</v>
      </c>
      <c r="C21" s="6" t="n">
        <v>1</v>
      </c>
      <c r="D21" s="6" t="s">
        <v>45</v>
      </c>
      <c r="E21" s="12" t="n">
        <v>0.0061314004477</v>
      </c>
      <c r="F21" s="12" t="n">
        <v>0.00613140044317574</v>
      </c>
      <c r="G21" s="7" t="n">
        <f aca="false">IF(F21="","",IF(F21=E21,15,MIN(15,-LOG10(ABS(F21-E21)/ABS(E21)))))</f>
        <v>9.13201218007949</v>
      </c>
      <c r="H21" s="12" t="n">
        <v>0.00034500025051</v>
      </c>
      <c r="I21" s="12" t="n">
        <v>0.000345000253848756</v>
      </c>
      <c r="J21" s="7" t="n">
        <f aca="false">IF(I21="","",IF(I21=H21,15,MIN(15,-LOG10(ABS(I21-H21)/ABS(H21)))))</f>
        <v>8.01423472509872</v>
      </c>
    </row>
    <row r="22" customFormat="false" ht="15" hidden="false" customHeight="true" outlineLevel="0" collapsed="false">
      <c r="A22" s="6" t="s">
        <v>49</v>
      </c>
      <c r="B22" s="6" t="s">
        <v>50</v>
      </c>
      <c r="C22" s="6" t="n">
        <v>1</v>
      </c>
      <c r="D22" s="6" t="s">
        <v>46</v>
      </c>
      <c r="E22" s="12" t="n">
        <v>0.010530908399</v>
      </c>
      <c r="F22" s="12" t="n">
        <v>0.0105309084160381</v>
      </c>
      <c r="G22" s="7" t="n">
        <f aca="false">IF(F22="","",IF(F22=E22,15,MIN(15,-LOG10(ABS(F22-E22)/ABS(E22)))))</f>
        <v>8.7910446697999</v>
      </c>
      <c r="H22" s="12" t="n">
        <v>0.00079281847748</v>
      </c>
      <c r="I22" s="12" t="n">
        <v>0.000792818476642463</v>
      </c>
      <c r="J22" s="7" t="n">
        <f aca="false">IF(I22="","",IF(I22=H22,15,MIN(15,-LOG10(ABS(I22-H22)/ABS(H22)))))</f>
        <v>8.97616972447621</v>
      </c>
    </row>
    <row r="23" customFormat="false" ht="15" hidden="false" customHeight="true" outlineLevel="0" collapsed="false">
      <c r="A23" s="6" t="s">
        <v>49</v>
      </c>
      <c r="B23" s="6" t="s">
        <v>50</v>
      </c>
      <c r="C23" s="6" t="n">
        <v>1</v>
      </c>
      <c r="D23" s="6" t="s">
        <v>47</v>
      </c>
      <c r="E23" s="12" t="n">
        <v>2384.4771393</v>
      </c>
      <c r="F23" s="12" t="n">
        <v>2384.47713930935</v>
      </c>
      <c r="G23" s="7" t="n">
        <f aca="false">IF(F23="","",IF(F23=E23,15,MIN(15,-LOG10(ABS(F23-E23)/ABS(E23)))))</f>
        <v>11.4065787522191</v>
      </c>
      <c r="H23" s="12"/>
      <c r="I23" s="12"/>
      <c r="J23" s="7"/>
    </row>
    <row r="24" customFormat="false" ht="15" hidden="false" customHeight="true" outlineLevel="0" collapsed="false">
      <c r="A24" s="6" t="s">
        <v>49</v>
      </c>
      <c r="B24" s="6" t="s">
        <v>50</v>
      </c>
      <c r="C24" s="6" t="n">
        <v>2</v>
      </c>
      <c r="D24" s="6" t="s">
        <v>44</v>
      </c>
      <c r="E24" s="12" t="n">
        <v>0.1902781837</v>
      </c>
      <c r="F24" s="12" t="n">
        <v>0.190278177210551</v>
      </c>
      <c r="G24" s="7" t="n">
        <f aca="false">IF(F24="","",IF(F24=E24,15,MIN(15,-LOG10(ABS(F24-E24)/ABS(E24)))))</f>
        <v>7.46718117496994</v>
      </c>
      <c r="H24" s="12" t="n">
        <v>0.021938557035</v>
      </c>
      <c r="I24" s="12" t="n">
        <v>0.0219385429245068</v>
      </c>
      <c r="J24" s="7" t="n">
        <f aca="false">IF(I24="","",IF(I24=H24,15,MIN(15,-LOG10(ABS(I24-H24)/ABS(H24)))))</f>
        <v>6.19166586550228</v>
      </c>
    </row>
    <row r="25" customFormat="false" ht="15" hidden="false" customHeight="true" outlineLevel="0" collapsed="false">
      <c r="A25" s="6" t="s">
        <v>49</v>
      </c>
      <c r="B25" s="6" t="s">
        <v>50</v>
      </c>
      <c r="C25" s="6" t="n">
        <v>2</v>
      </c>
      <c r="D25" s="6" t="s">
        <v>45</v>
      </c>
      <c r="E25" s="12" t="n">
        <v>0.0061314004477</v>
      </c>
      <c r="F25" s="12" t="n">
        <v>0.00613140045282595</v>
      </c>
      <c r="G25" s="7" t="n">
        <f aca="false">IF(F25="","",IF(F25=E25,15,MIN(15,-LOG10(ABS(F25-E25)/ABS(E25)))))</f>
        <v>9.07778531462267</v>
      </c>
      <c r="H25" s="12" t="n">
        <v>0.00034500025051</v>
      </c>
      <c r="I25" s="12" t="n">
        <v>0.000345000323623805</v>
      </c>
      <c r="J25" s="7" t="n">
        <f aca="false">IF(I25="","",IF(I25=H25,15,MIN(15,-LOG10(ABS(I25-H25)/ABS(H25)))))</f>
        <v>6.67382002433689</v>
      </c>
    </row>
    <row r="26" customFormat="false" ht="15" hidden="false" customHeight="true" outlineLevel="0" collapsed="false">
      <c r="A26" s="6" t="s">
        <v>49</v>
      </c>
      <c r="B26" s="6" t="s">
        <v>50</v>
      </c>
      <c r="C26" s="6" t="n">
        <v>2</v>
      </c>
      <c r="D26" s="6" t="s">
        <v>46</v>
      </c>
      <c r="E26" s="12" t="n">
        <v>0.010530908399</v>
      </c>
      <c r="F26" s="12" t="n">
        <v>0.0105309085045981</v>
      </c>
      <c r="G26" s="7" t="n">
        <f aca="false">IF(F26="","",IF(F26=E26,15,MIN(15,-LOG10(ABS(F26-E26)/ABS(E26)))))</f>
        <v>7.99880973224084</v>
      </c>
      <c r="H26" s="12" t="n">
        <v>0.00079281847748</v>
      </c>
      <c r="I26" s="12" t="n">
        <v>0.000792818489382216</v>
      </c>
      <c r="J26" s="7" t="n">
        <f aca="false">IF(I26="","",IF(I26=H26,15,MIN(15,-LOG10(ABS(I26-H26)/ABS(H26)))))</f>
        <v>7.82354593668015</v>
      </c>
    </row>
    <row r="27" customFormat="false" ht="15" hidden="false" customHeight="true" outlineLevel="0" collapsed="false">
      <c r="A27" s="6" t="s">
        <v>49</v>
      </c>
      <c r="B27" s="6" t="s">
        <v>50</v>
      </c>
      <c r="C27" s="6" t="n">
        <v>2</v>
      </c>
      <c r="D27" s="6" t="s">
        <v>47</v>
      </c>
      <c r="E27" s="12" t="n">
        <v>2384.4771393</v>
      </c>
      <c r="F27" s="12" t="n">
        <v>2384.47713930935</v>
      </c>
      <c r="G27" s="7" t="n">
        <f aca="false">IF(F27="","",IF(F27=E27,15,MIN(15,-LOG10(ABS(F27-E27)/ABS(E27)))))</f>
        <v>11.4065787522191</v>
      </c>
      <c r="H27" s="12"/>
      <c r="I27" s="12"/>
      <c r="J27" s="7"/>
    </row>
    <row r="28" customFormat="false" ht="15" hidden="false" customHeight="true" outlineLevel="0" collapsed="false">
      <c r="A28" s="6" t="s">
        <v>51</v>
      </c>
      <c r="B28" s="6" t="s">
        <v>50</v>
      </c>
      <c r="C28" s="6" t="n">
        <v>1</v>
      </c>
      <c r="D28" s="6" t="s">
        <v>44</v>
      </c>
      <c r="E28" s="12" t="n">
        <v>0.16657666537</v>
      </c>
      <c r="F28" s="12" t="n">
        <v>0.166576660380332</v>
      </c>
      <c r="G28" s="7" t="n">
        <f aca="false">IF(F28="","",IF(F28=E28,15,MIN(15,-LOG10(ABS(F28-E28)/ABS(E28)))))</f>
        <v>7.52354251551649</v>
      </c>
      <c r="H28" s="12" t="n">
        <v>0.03830328681</v>
      </c>
      <c r="I28" s="12" t="n">
        <v>0.0383032771140689</v>
      </c>
      <c r="J28" s="7" t="n">
        <f aca="false">IF(I28="","",IF(I28=H28,15,MIN(15,-LOG10(ABS(I28-H28)/ABS(H28)))))</f>
        <v>6.59664652143256</v>
      </c>
    </row>
    <row r="29" customFormat="false" ht="15" hidden="false" customHeight="true" outlineLevel="0" collapsed="false">
      <c r="A29" s="6" t="s">
        <v>51</v>
      </c>
      <c r="B29" s="6" t="s">
        <v>50</v>
      </c>
      <c r="C29" s="6" t="n">
        <v>1</v>
      </c>
      <c r="D29" s="6" t="s">
        <v>45</v>
      </c>
      <c r="E29" s="12" t="n">
        <v>0.0051653291286</v>
      </c>
      <c r="F29" s="12" t="n">
        <v>0.00516532905949641</v>
      </c>
      <c r="G29" s="7" t="n">
        <f aca="false">IF(F29="","",IF(F29=E29,15,MIN(15,-LOG10(ABS(F29-E29)/ABS(E29)))))</f>
        <v>7.87359738923672</v>
      </c>
      <c r="H29" s="12" t="n">
        <v>0.00066621605126</v>
      </c>
      <c r="I29" s="12" t="n">
        <v>0.00066621610788242</v>
      </c>
      <c r="J29" s="7" t="n">
        <f aca="false">IF(I29="","",IF(I29=H29,15,MIN(15,-LOG10(ABS(I29-H29)/ABS(H29)))))</f>
        <v>7.07062666540493</v>
      </c>
    </row>
    <row r="30" customFormat="false" ht="15" hidden="false" customHeight="true" outlineLevel="0" collapsed="false">
      <c r="A30" s="6" t="s">
        <v>51</v>
      </c>
      <c r="B30" s="6" t="s">
        <v>50</v>
      </c>
      <c r="C30" s="6" t="n">
        <v>1</v>
      </c>
      <c r="D30" s="6" t="s">
        <v>46</v>
      </c>
      <c r="E30" s="12" t="n">
        <v>0.012150007096</v>
      </c>
      <c r="F30" s="12" t="n">
        <v>0.0121500072771284</v>
      </c>
      <c r="G30" s="7" t="n">
        <f aca="false">IF(F30="","",IF(F30=E30,15,MIN(15,-LOG10(ABS(F30-E30)/ABS(E30)))))</f>
        <v>7.82658998381204</v>
      </c>
      <c r="H30" s="12" t="n">
        <v>0.0015304234767</v>
      </c>
      <c r="I30" s="12" t="n">
        <v>0.00153042350108288</v>
      </c>
      <c r="J30" s="7" t="n">
        <f aca="false">IF(I30="","",IF(I30=H30,15,MIN(15,-LOG10(ABS(I30-H30)/ABS(H30)))))</f>
        <v>7.79772661702628</v>
      </c>
    </row>
    <row r="31" customFormat="false" ht="15" hidden="false" customHeight="true" outlineLevel="0" collapsed="false">
      <c r="A31" s="6" t="s">
        <v>51</v>
      </c>
      <c r="B31" s="6" t="s">
        <v>50</v>
      </c>
      <c r="C31" s="6" t="n">
        <v>1</v>
      </c>
      <c r="D31" s="6" t="s">
        <v>47</v>
      </c>
      <c r="E31" s="12" t="n">
        <v>513.04802941</v>
      </c>
      <c r="F31" s="12" t="n">
        <v>513.048029406866</v>
      </c>
      <c r="G31" s="7" t="n">
        <f aca="false">IF(F31="","",IF(F31=E31,15,MIN(15,-LOG10(ABS(F31-E31)/ABS(E31)))))</f>
        <v>11.2140583311527</v>
      </c>
      <c r="H31" s="12"/>
      <c r="I31" s="12"/>
      <c r="J31" s="7"/>
    </row>
    <row r="32" customFormat="false" ht="15" hidden="false" customHeight="true" outlineLevel="0" collapsed="false">
      <c r="A32" s="6" t="s">
        <v>51</v>
      </c>
      <c r="B32" s="6" t="s">
        <v>50</v>
      </c>
      <c r="C32" s="6" t="n">
        <v>2</v>
      </c>
      <c r="D32" s="6" t="s">
        <v>44</v>
      </c>
      <c r="E32" s="12" t="n">
        <v>0.16657666537</v>
      </c>
      <c r="F32" s="12" t="n">
        <v>0.166576655767421</v>
      </c>
      <c r="G32" s="7" t="n">
        <f aca="false">IF(F32="","",IF(F32=E32,15,MIN(15,-LOG10(ABS(F32-E32)/ABS(E32)))))</f>
        <v>7.23922627591422</v>
      </c>
      <c r="H32" s="12" t="n">
        <v>0.03830328681</v>
      </c>
      <c r="I32" s="12" t="n">
        <v>0.0383032681464002</v>
      </c>
      <c r="J32" s="7" t="n">
        <f aca="false">IF(I32="","",IF(I32=H32,15,MIN(15,-LOG10(ABS(I32-H32)/ABS(H32)))))</f>
        <v>6.31224062893629</v>
      </c>
    </row>
    <row r="33" customFormat="false" ht="15" hidden="false" customHeight="true" outlineLevel="0" collapsed="false">
      <c r="A33" s="6" t="s">
        <v>51</v>
      </c>
      <c r="B33" s="6" t="s">
        <v>50</v>
      </c>
      <c r="C33" s="6" t="n">
        <v>2</v>
      </c>
      <c r="D33" s="6" t="s">
        <v>45</v>
      </c>
      <c r="E33" s="12" t="n">
        <v>0.0051653291286</v>
      </c>
      <c r="F33" s="12" t="n">
        <v>0.00516532899561102</v>
      </c>
      <c r="G33" s="7" t="n">
        <f aca="false">IF(F33="","",IF(F33=E33,15,MIN(15,-LOG10(ABS(F33-E33)/ABS(E33)))))</f>
        <v>7.58928234415344</v>
      </c>
      <c r="H33" s="12" t="n">
        <v>0.00066621605126</v>
      </c>
      <c r="I33" s="12" t="n">
        <v>0.000666216160234698</v>
      </c>
      <c r="J33" s="7" t="n">
        <f aca="false">IF(I33="","",IF(I33=H33,15,MIN(15,-LOG10(ABS(I33-H33)/ABS(H33)))))</f>
        <v>6.78628941798826</v>
      </c>
    </row>
    <row r="34" customFormat="false" ht="15" hidden="false" customHeight="true" outlineLevel="0" collapsed="false">
      <c r="A34" s="6" t="s">
        <v>51</v>
      </c>
      <c r="B34" s="6" t="s">
        <v>50</v>
      </c>
      <c r="C34" s="6" t="n">
        <v>2</v>
      </c>
      <c r="D34" s="6" t="s">
        <v>46</v>
      </c>
      <c r="E34" s="12" t="n">
        <v>0.012150007096</v>
      </c>
      <c r="F34" s="12" t="n">
        <v>0.0121500074448032</v>
      </c>
      <c r="G34" s="7" t="n">
        <f aca="false">IF(F34="","",IF(F34=E34,15,MIN(15,-LOG10(ABS(F34-E34)/ABS(E34)))))</f>
        <v>7.54199607114936</v>
      </c>
      <c r="H34" s="12" t="n">
        <v>0.0015304234767</v>
      </c>
      <c r="I34" s="12" t="n">
        <v>0.00153042352362385</v>
      </c>
      <c r="J34" s="7" t="n">
        <f aca="false">IF(I34="","",IF(I34=H34,15,MIN(15,-LOG10(ABS(I34-H34)/ABS(H34)))))</f>
        <v>7.51341798127562</v>
      </c>
    </row>
    <row r="35" customFormat="false" ht="15" hidden="false" customHeight="true" outlineLevel="0" collapsed="false">
      <c r="A35" s="6" t="s">
        <v>51</v>
      </c>
      <c r="B35" s="6" t="s">
        <v>50</v>
      </c>
      <c r="C35" s="6" t="n">
        <v>2</v>
      </c>
      <c r="D35" s="6" t="s">
        <v>47</v>
      </c>
      <c r="E35" s="12" t="n">
        <v>513.04802941</v>
      </c>
      <c r="F35" s="12" t="n">
        <v>513.048029406866</v>
      </c>
      <c r="G35" s="7" t="n">
        <f aca="false">IF(F35="","",IF(F35=E35,15,MIN(15,-LOG10(ABS(F35-E35)/ABS(E35)))))</f>
        <v>11.2140583311527</v>
      </c>
      <c r="H35" s="12"/>
      <c r="I35" s="12"/>
      <c r="J35" s="7"/>
    </row>
    <row r="36" customFormat="false" ht="15" hidden="false" customHeight="true" outlineLevel="0" collapsed="false">
      <c r="A36" s="6" t="s">
        <v>52</v>
      </c>
      <c r="B36" s="6" t="s">
        <v>50</v>
      </c>
      <c r="C36" s="6" t="n">
        <v>1</v>
      </c>
      <c r="D36" s="6" t="s">
        <v>44</v>
      </c>
      <c r="E36" s="12" t="n">
        <v>0.76886226176</v>
      </c>
      <c r="F36" s="12" t="n">
        <v>0.768862261829544</v>
      </c>
      <c r="G36" s="7" t="n">
        <f aca="false">IF(F36="","",IF(F36=E36,15,MIN(15,-LOG10(ABS(F36-E36)/ABS(E36)))))</f>
        <v>10.0435893392754</v>
      </c>
      <c r="H36" s="12" t="n">
        <v>0.01828197386</v>
      </c>
      <c r="I36" s="12" t="n">
        <v>0.0182819737016623</v>
      </c>
      <c r="J36" s="7" t="n">
        <f aca="false">IF(I36="","",IF(I36=H36,15,MIN(15,-LOG10(ABS(I36-H36)/ABS(H36)))))</f>
        <v>8.06243875941586</v>
      </c>
    </row>
    <row r="37" customFormat="false" ht="15" hidden="false" customHeight="true" outlineLevel="0" collapsed="false">
      <c r="A37" s="6" t="s">
        <v>52</v>
      </c>
      <c r="B37" s="6" t="s">
        <v>50</v>
      </c>
      <c r="C37" s="6" t="n">
        <v>1</v>
      </c>
      <c r="D37" s="6" t="s">
        <v>45</v>
      </c>
      <c r="E37" s="12" t="n">
        <v>3.8604055871</v>
      </c>
      <c r="F37" s="12" t="n">
        <v>3.86040558689169</v>
      </c>
      <c r="G37" s="7" t="n">
        <f aca="false">IF(F37="","",IF(F37=E37,15,MIN(15,-LOG10(ABS(F37-E37)/ABS(E37)))))</f>
        <v>10.2679232046883</v>
      </c>
      <c r="H37" s="12" t="n">
        <v>0.051726610913</v>
      </c>
      <c r="I37" s="12" t="n">
        <v>0.0517266109978797</v>
      </c>
      <c r="J37" s="7" t="n">
        <f aca="false">IF(I37="","",IF(I37=H37,15,MIN(15,-LOG10(ABS(I37-H37)/ABS(H37)))))</f>
        <v>8.78491018627838</v>
      </c>
    </row>
    <row r="38" customFormat="false" ht="15" hidden="false" customHeight="true" outlineLevel="0" collapsed="false">
      <c r="A38" s="6" t="s">
        <v>52</v>
      </c>
      <c r="B38" s="6" t="s">
        <v>50</v>
      </c>
      <c r="C38" s="6" t="n">
        <v>1</v>
      </c>
      <c r="D38" s="6" t="s">
        <v>47</v>
      </c>
      <c r="E38" s="12" t="n">
        <v>0.0043173084083</v>
      </c>
      <c r="F38" s="12" t="n">
        <v>0.00431730840829107</v>
      </c>
      <c r="G38" s="7" t="n">
        <f aca="false">IF(F38="","",IF(F38=E38,15,MIN(15,-LOG10(ABS(F38-E38)/ABS(E38)))))</f>
        <v>11.6843442796715</v>
      </c>
      <c r="H38" s="12"/>
      <c r="I38" s="12"/>
      <c r="J38" s="7"/>
    </row>
    <row r="39" customFormat="false" ht="15" hidden="false" customHeight="true" outlineLevel="0" collapsed="false">
      <c r="A39" s="6" t="s">
        <v>52</v>
      </c>
      <c r="B39" s="6" t="s">
        <v>50</v>
      </c>
      <c r="C39" s="6" t="n">
        <v>2</v>
      </c>
      <c r="D39" s="6" t="s">
        <v>44</v>
      </c>
      <c r="E39" s="12" t="n">
        <v>0.76886226176</v>
      </c>
      <c r="F39" s="12" t="n">
        <v>0.7688622617771</v>
      </c>
      <c r="G39" s="7" t="n">
        <f aca="false">IF(F39="","",IF(F39=E39,15,MIN(15,-LOG10(ABS(F39-E39)/ABS(E39)))))</f>
        <v>10.6528527368877</v>
      </c>
      <c r="H39" s="12" t="n">
        <v>0.01828197386</v>
      </c>
      <c r="I39" s="12" t="n">
        <v>0.0182819738603756</v>
      </c>
      <c r="J39" s="7" t="n">
        <f aca="false">IF(I39="","",IF(I39=H39,15,MIN(15,-LOG10(ABS(I39-H39)/ABS(H39)))))</f>
        <v>10.6872948093981</v>
      </c>
    </row>
    <row r="40" customFormat="false" ht="15" hidden="false" customHeight="true" outlineLevel="0" collapsed="false">
      <c r="A40" s="6" t="s">
        <v>52</v>
      </c>
      <c r="B40" s="6" t="s">
        <v>50</v>
      </c>
      <c r="C40" s="6" t="n">
        <v>2</v>
      </c>
      <c r="D40" s="6" t="s">
        <v>45</v>
      </c>
      <c r="E40" s="12" t="n">
        <v>3.8604055871</v>
      </c>
      <c r="F40" s="12" t="n">
        <v>3.86040558704145</v>
      </c>
      <c r="G40" s="7" t="n">
        <f aca="false">IF(F40="","",IF(F40=E40,15,MIN(15,-LOG10(ABS(F40-E40)/ABS(E40)))))</f>
        <v>10.819108931852</v>
      </c>
      <c r="H40" s="12" t="n">
        <v>0.051726610913</v>
      </c>
      <c r="I40" s="12" t="n">
        <v>0.051726610912742</v>
      </c>
      <c r="J40" s="7" t="n">
        <f aca="false">IF(I40="","",IF(I40=H40,15,MIN(15,-LOG10(ABS(I40-H40)/ABS(H40)))))</f>
        <v>11.3020910310208</v>
      </c>
    </row>
    <row r="41" customFormat="false" ht="15" hidden="false" customHeight="true" outlineLevel="0" collapsed="false">
      <c r="A41" s="6" t="s">
        <v>52</v>
      </c>
      <c r="B41" s="6" t="s">
        <v>50</v>
      </c>
      <c r="C41" s="6" t="n">
        <v>2</v>
      </c>
      <c r="D41" s="6" t="s">
        <v>47</v>
      </c>
      <c r="E41" s="12" t="n">
        <v>0.0043173084083</v>
      </c>
      <c r="F41" s="12" t="n">
        <v>0.00431730840829107</v>
      </c>
      <c r="G41" s="7" t="n">
        <f aca="false">IF(F41="","",IF(F41=E41,15,MIN(15,-LOG10(ABS(F41-E41)/ABS(E41)))))</f>
        <v>11.6843442796715</v>
      </c>
      <c r="H41" s="12"/>
      <c r="I41" s="12"/>
      <c r="J41" s="7"/>
    </row>
    <row r="42" customFormat="false" ht="15" hidden="false" customHeight="true" outlineLevel="0" collapsed="false">
      <c r="A42" s="6" t="s">
        <v>53</v>
      </c>
      <c r="B42" s="6" t="s">
        <v>43</v>
      </c>
      <c r="C42" s="6" t="n">
        <v>1</v>
      </c>
      <c r="D42" s="6" t="s">
        <v>44</v>
      </c>
      <c r="E42" s="12" t="n">
        <v>1.5543827178</v>
      </c>
      <c r="F42" s="12" t="n">
        <v>1.55438271759211</v>
      </c>
      <c r="G42" s="7" t="n">
        <f aca="false">IF(F42="","",IF(F42=E42,15,MIN(15,-LOG10(ABS(F42-E42)/ABS(E42)))))</f>
        <v>9.87372451119636</v>
      </c>
      <c r="H42" s="12" t="n">
        <v>0.015408051163</v>
      </c>
      <c r="I42" s="12" t="n">
        <v>0.0154080511357454</v>
      </c>
      <c r="J42" s="7" t="n">
        <f aca="false">IF(I42="","",IF(I42=H42,15,MIN(15,-LOG10(ABS(I42-H42)/ABS(H42)))))</f>
        <v>8.75230790542588</v>
      </c>
    </row>
    <row r="43" customFormat="false" ht="15" hidden="false" customHeight="true" outlineLevel="0" collapsed="false">
      <c r="A43" s="6" t="s">
        <v>53</v>
      </c>
      <c r="B43" s="6" t="s">
        <v>43</v>
      </c>
      <c r="C43" s="6" t="n">
        <v>1</v>
      </c>
      <c r="D43" s="6" t="s">
        <v>45</v>
      </c>
      <c r="E43" s="12" t="n">
        <v>4.0888321754</v>
      </c>
      <c r="F43" s="12" t="n">
        <v>4.0888321745786</v>
      </c>
      <c r="G43" s="7" t="n">
        <f aca="false">IF(F43="","",IF(F43=E43,15,MIN(15,-LOG10(ABS(F43-E43)/ABS(E43)))))</f>
        <v>9.69704420350768</v>
      </c>
      <c r="H43" s="12" t="n">
        <v>0.046803020753</v>
      </c>
      <c r="I43" s="12" t="n">
        <v>0.0468030205847029</v>
      </c>
      <c r="J43" s="7" t="n">
        <f aca="false">IF(I43="","",IF(I43=H43,15,MIN(15,-LOG10(ABS(I43-H43)/ABS(H43)))))</f>
        <v>8.44419723763602</v>
      </c>
    </row>
    <row r="44" customFormat="false" ht="15" hidden="false" customHeight="true" outlineLevel="0" collapsed="false">
      <c r="A44" s="6" t="s">
        <v>53</v>
      </c>
      <c r="B44" s="6" t="s">
        <v>43</v>
      </c>
      <c r="C44" s="6" t="n">
        <v>1</v>
      </c>
      <c r="D44" s="6" t="s">
        <v>46</v>
      </c>
      <c r="E44" s="12" t="n">
        <v>451.54121844</v>
      </c>
      <c r="F44" s="12" t="n">
        <v>451.541218436763</v>
      </c>
      <c r="G44" s="7" t="n">
        <f aca="false">IF(F44="","",IF(F44=E44,15,MIN(15,-LOG10(ABS(F44-E44)/ABS(E44)))))</f>
        <v>11.1445539859844</v>
      </c>
      <c r="H44" s="12" t="n">
        <v>0.046800518816</v>
      </c>
      <c r="I44" s="12" t="n">
        <v>0.0468005186479988</v>
      </c>
      <c r="J44" s="7" t="n">
        <f aca="false">IF(I44="","",IF(I44=H44,15,MIN(15,-LOG10(ABS(I44-H44)/ABS(H44)))))</f>
        <v>8.44493827539469</v>
      </c>
    </row>
    <row r="45" customFormat="false" ht="15" hidden="false" customHeight="true" outlineLevel="0" collapsed="false">
      <c r="A45" s="6" t="s">
        <v>53</v>
      </c>
      <c r="B45" s="6" t="s">
        <v>43</v>
      </c>
      <c r="C45" s="6" t="n">
        <v>1</v>
      </c>
      <c r="D45" s="6" t="s">
        <v>47</v>
      </c>
      <c r="E45" s="12" t="n">
        <v>0.0014635887487</v>
      </c>
      <c r="F45" s="12" t="n">
        <v>0.00146358874872747</v>
      </c>
      <c r="G45" s="7" t="n">
        <f aca="false">IF(F45="","",IF(F45=E45,15,MIN(15,-LOG10(ABS(F45-E45)/ABS(E45)))))</f>
        <v>10.7265604539494</v>
      </c>
      <c r="H45" s="12"/>
      <c r="I45" s="12"/>
      <c r="J45" s="7"/>
    </row>
    <row r="46" customFormat="false" ht="15" hidden="false" customHeight="true" outlineLevel="0" collapsed="false">
      <c r="A46" s="6" t="s">
        <v>53</v>
      </c>
      <c r="B46" s="6" t="s">
        <v>43</v>
      </c>
      <c r="C46" s="6" t="n">
        <v>2</v>
      </c>
      <c r="D46" s="6" t="s">
        <v>44</v>
      </c>
      <c r="E46" s="12" t="n">
        <v>1.5543827178</v>
      </c>
      <c r="F46" s="12" t="n">
        <v>1.55438271794031</v>
      </c>
      <c r="G46" s="7" t="n">
        <f aca="false">IF(F46="","",IF(F46=E46,15,MIN(15,-LOG10(ABS(F46-E46)/ABS(E46)))))</f>
        <v>10.0444693781355</v>
      </c>
      <c r="H46" s="12" t="n">
        <v>0.015408051163</v>
      </c>
      <c r="I46" s="12" t="n">
        <v>0.0154080511986858</v>
      </c>
      <c r="J46" s="7" t="n">
        <f aca="false">IF(I46="","",IF(I46=H46,15,MIN(15,-LOG10(ABS(I46-H46)/ABS(H46)))))</f>
        <v>8.63525227712807</v>
      </c>
    </row>
    <row r="47" customFormat="false" ht="15" hidden="false" customHeight="true" outlineLevel="0" collapsed="false">
      <c r="A47" s="6" t="s">
        <v>53</v>
      </c>
      <c r="B47" s="6" t="s">
        <v>43</v>
      </c>
      <c r="C47" s="6" t="n">
        <v>2</v>
      </c>
      <c r="D47" s="6" t="s">
        <v>45</v>
      </c>
      <c r="E47" s="12" t="n">
        <v>4.0888321754</v>
      </c>
      <c r="F47" s="12" t="n">
        <v>4.08883217641048</v>
      </c>
      <c r="G47" s="7" t="n">
        <f aca="false">IF(F47="","",IF(F47=E47,15,MIN(15,-LOG10(ABS(F47-E47)/ABS(E47)))))</f>
        <v>9.60707169230732</v>
      </c>
      <c r="H47" s="12" t="n">
        <v>0.046803020753</v>
      </c>
      <c r="I47" s="12" t="n">
        <v>0.0468030209671597</v>
      </c>
      <c r="J47" s="7" t="n">
        <f aca="false">IF(I47="","",IF(I47=H47,15,MIN(15,-LOG10(ABS(I47-H47)/ABS(H47)))))</f>
        <v>8.33953614057815</v>
      </c>
    </row>
    <row r="48" customFormat="false" ht="15" hidden="false" customHeight="true" outlineLevel="0" collapsed="false">
      <c r="A48" s="6" t="s">
        <v>53</v>
      </c>
      <c r="B48" s="6" t="s">
        <v>43</v>
      </c>
      <c r="C48" s="6" t="n">
        <v>2</v>
      </c>
      <c r="D48" s="6" t="s">
        <v>46</v>
      </c>
      <c r="E48" s="12" t="n">
        <v>451.54121844</v>
      </c>
      <c r="F48" s="12" t="n">
        <v>451.541218435362</v>
      </c>
      <c r="G48" s="7" t="n">
        <f aca="false">IF(F48="","",IF(F48=E48,15,MIN(15,-LOG10(ABS(F48-E48)/ABS(E48)))))</f>
        <v>10.9883643082633</v>
      </c>
      <c r="H48" s="12" t="n">
        <v>0.046800518816</v>
      </c>
      <c r="I48" s="12" t="n">
        <v>0.0468005190300719</v>
      </c>
      <c r="J48" s="7" t="n">
        <f aca="false">IF(I48="","",IF(I48=H48,15,MIN(15,-LOG10(ABS(I48-H48)/ABS(H48)))))</f>
        <v>8.33969100571742</v>
      </c>
    </row>
    <row r="49" customFormat="false" ht="15" hidden="false" customHeight="true" outlineLevel="0" collapsed="false">
      <c r="A49" s="6" t="s">
        <v>53</v>
      </c>
      <c r="B49" s="6" t="s">
        <v>43</v>
      </c>
      <c r="C49" s="6" t="n">
        <v>2</v>
      </c>
      <c r="D49" s="6" t="s">
        <v>47</v>
      </c>
      <c r="E49" s="12" t="n">
        <v>0.0014635887487</v>
      </c>
      <c r="F49" s="12" t="n">
        <v>0.00146358874872747</v>
      </c>
      <c r="G49" s="7" t="n">
        <f aca="false">IF(F49="","",IF(F49=E49,15,MIN(15,-LOG10(ABS(F49-E49)/ABS(E49)))))</f>
        <v>10.7265604539494</v>
      </c>
      <c r="H49" s="12"/>
      <c r="I49" s="12"/>
      <c r="J49" s="7"/>
    </row>
    <row r="50" customFormat="false" ht="15" hidden="false" customHeight="true" outlineLevel="0" collapsed="false">
      <c r="A50" s="6" t="s">
        <v>54</v>
      </c>
      <c r="B50" s="6" t="s">
        <v>55</v>
      </c>
      <c r="C50" s="6" t="n">
        <v>1</v>
      </c>
      <c r="D50" s="6" t="s">
        <v>44</v>
      </c>
      <c r="E50" s="12" t="n">
        <v>10.510749193</v>
      </c>
      <c r="F50" s="12" t="n">
        <v>10.5107492153927</v>
      </c>
      <c r="G50" s="7" t="n">
        <f aca="false">IF(F50="","",IF(F50=E50,15,MIN(15,-LOG10(ABS(F50-E50)/ABS(E50)))))</f>
        <v>8.67152722583723</v>
      </c>
      <c r="H50" s="12" t="n">
        <v>0.17488832467</v>
      </c>
      <c r="I50" s="12" t="n">
        <v>0.17488832584677</v>
      </c>
      <c r="J50" s="7" t="n">
        <f aca="false">IF(I50="","",IF(I50=H50,15,MIN(15,-LOG10(ABS(I50-H50)/ABS(H50)))))</f>
        <v>8.17206923410449</v>
      </c>
    </row>
    <row r="51" customFormat="false" ht="15" hidden="false" customHeight="true" outlineLevel="0" collapsed="false">
      <c r="A51" s="6" t="s">
        <v>54</v>
      </c>
      <c r="B51" s="6" t="s">
        <v>55</v>
      </c>
      <c r="C51" s="6" t="n">
        <v>1</v>
      </c>
      <c r="D51" s="6" t="s">
        <v>45</v>
      </c>
      <c r="E51" s="12" t="n">
        <v>3.0762128085</v>
      </c>
      <c r="F51" s="12" t="n">
        <v>3.07621278202856</v>
      </c>
      <c r="G51" s="7" t="n">
        <f aca="false">IF(F51="","",IF(F51=E51,15,MIN(15,-LOG10(ABS(F51-E51)/ABS(E51)))))</f>
        <v>8.06523881411492</v>
      </c>
      <c r="H51" s="12" t="n">
        <v>0.24310052139</v>
      </c>
      <c r="I51" s="12" t="n">
        <v>0.243100521556358</v>
      </c>
      <c r="J51" s="7" t="n">
        <f aca="false">IF(I51="","",IF(I51=H51,15,MIN(15,-LOG10(ABS(I51-H51)/ABS(H51)))))</f>
        <v>9.16474217184264</v>
      </c>
    </row>
    <row r="52" customFormat="false" ht="15" hidden="false" customHeight="true" outlineLevel="0" collapsed="false">
      <c r="A52" s="6" t="s">
        <v>54</v>
      </c>
      <c r="B52" s="6" t="s">
        <v>55</v>
      </c>
      <c r="C52" s="6" t="n">
        <v>1</v>
      </c>
      <c r="D52" s="6" t="s">
        <v>46</v>
      </c>
      <c r="E52" s="12" t="n">
        <v>0.53280138227</v>
      </c>
      <c r="F52" s="12" t="n">
        <v>0.532801360140626</v>
      </c>
      <c r="G52" s="7" t="n">
        <f aca="false">IF(F52="","",IF(F52=E52,15,MIN(15,-LOG10(ABS(F52-E52)/ABS(E52)))))</f>
        <v>7.38159621417947</v>
      </c>
      <c r="H52" s="12" t="n">
        <v>0.24354686618</v>
      </c>
      <c r="I52" s="12" t="n">
        <v>0.24354686574837</v>
      </c>
      <c r="J52" s="7" t="n">
        <f aca="false">IF(I52="","",IF(I52=H52,15,MIN(15,-LOG10(ABS(I52-H52)/ABS(H52)))))</f>
        <v>8.75147094179815</v>
      </c>
    </row>
    <row r="53" customFormat="false" ht="15" hidden="false" customHeight="true" outlineLevel="0" collapsed="false">
      <c r="A53" s="6" t="s">
        <v>54</v>
      </c>
      <c r="B53" s="6" t="s">
        <v>55</v>
      </c>
      <c r="C53" s="6" t="n">
        <v>1</v>
      </c>
      <c r="D53" s="6" t="s">
        <v>56</v>
      </c>
      <c r="E53" s="12" t="n">
        <v>44.3110887</v>
      </c>
      <c r="F53" s="12" t="n">
        <v>44.3110903735903</v>
      </c>
      <c r="G53" s="7" t="n">
        <f aca="false">IF(F53="","",IF(F53=E53,15,MIN(15,-LOG10(ABS(F53-E53)/ABS(E53)))))</f>
        <v>7.42286327115086</v>
      </c>
      <c r="H53" s="12" t="n">
        <v>0.94408025976</v>
      </c>
      <c r="I53" s="12" t="n">
        <v>0.944080029842236</v>
      </c>
      <c r="J53" s="7" t="n">
        <f aca="false">IF(I53="","",IF(I53=H53,15,MIN(15,-LOG10(ABS(I53-H53)/ABS(H53)))))</f>
        <v>6.61343638976318</v>
      </c>
    </row>
    <row r="54" customFormat="false" ht="15" hidden="false" customHeight="true" outlineLevel="0" collapsed="false">
      <c r="A54" s="6" t="s">
        <v>54</v>
      </c>
      <c r="B54" s="6" t="s">
        <v>55</v>
      </c>
      <c r="C54" s="6" t="n">
        <v>1</v>
      </c>
      <c r="D54" s="6" t="s">
        <v>57</v>
      </c>
      <c r="E54" s="12" t="n">
        <v>-1.6231428586</v>
      </c>
      <c r="F54" s="12" t="n">
        <v>-1.62314264918837</v>
      </c>
      <c r="G54" s="7" t="n">
        <f aca="false">IF(F54="","",IF(F54=E54,15,MIN(15,-LOG10(ABS(F54-E54)/ABS(E54)))))</f>
        <v>6.88935594800998</v>
      </c>
      <c r="H54" s="12" t="n">
        <v>0.28078369611</v>
      </c>
      <c r="I54" s="12" t="n">
        <v>0.280783592312111</v>
      </c>
      <c r="J54" s="7" t="n">
        <f aca="false">IF(I54="","",IF(I54=H54,15,MIN(15,-LOG10(ABS(I54-H54)/ABS(H54)))))</f>
        <v>6.43218336547476</v>
      </c>
    </row>
    <row r="55" customFormat="false" ht="15" hidden="false" customHeight="true" outlineLevel="0" collapsed="false">
      <c r="A55" s="6" t="s">
        <v>54</v>
      </c>
      <c r="B55" s="6" t="s">
        <v>55</v>
      </c>
      <c r="C55" s="6" t="n">
        <v>1</v>
      </c>
      <c r="D55" s="6" t="s">
        <v>58</v>
      </c>
      <c r="E55" s="12" t="n">
        <v>0.52554493756</v>
      </c>
      <c r="F55" s="12" t="n">
        <v>0.525545376728748</v>
      </c>
      <c r="G55" s="7" t="n">
        <f aca="false">IF(F55="","",IF(F55=E55,15,MIN(15,-LOG10(ABS(F55-E55)/ABS(E55)))))</f>
        <v>6.07797842955927</v>
      </c>
      <c r="H55" s="12" t="n">
        <v>0.48073701119</v>
      </c>
      <c r="I55" s="12" t="n">
        <v>0.480737051404511</v>
      </c>
      <c r="J55" s="7" t="n">
        <f aca="false">IF(I55="","",IF(I55=H55,15,MIN(15,-LOG10(ABS(I55-H55)/ABS(H55)))))</f>
        <v>7.07752476693785</v>
      </c>
    </row>
    <row r="56" customFormat="false" ht="15" hidden="false" customHeight="true" outlineLevel="0" collapsed="false">
      <c r="A56" s="6" t="s">
        <v>54</v>
      </c>
      <c r="B56" s="6" t="s">
        <v>55</v>
      </c>
      <c r="C56" s="6" t="n">
        <v>1</v>
      </c>
      <c r="D56" s="6" t="s">
        <v>59</v>
      </c>
      <c r="E56" s="12" t="n">
        <v>26.88761444</v>
      </c>
      <c r="F56" s="12" t="n">
        <v>26.8876162924216</v>
      </c>
      <c r="G56" s="7" t="n">
        <f aca="false">IF(F56="","",IF(F56=E56,15,MIN(15,-LOG10(ABS(F56-E56)/ABS(E56)))))</f>
        <v>7.16181243521992</v>
      </c>
      <c r="H56" s="12" t="n">
        <v>0.4161293913</v>
      </c>
      <c r="I56" s="12" t="n">
        <v>0.416129253153358</v>
      </c>
      <c r="J56" s="7" t="n">
        <f aca="false">IF(I56="","",IF(I56=H56,15,MIN(15,-LOG10(ABS(I56-H56)/ABS(H56)))))</f>
        <v>6.47888805854223</v>
      </c>
    </row>
    <row r="57" customFormat="false" ht="15" hidden="false" customHeight="true" outlineLevel="0" collapsed="false">
      <c r="A57" s="6" t="s">
        <v>54</v>
      </c>
      <c r="B57" s="6" t="s">
        <v>55</v>
      </c>
      <c r="C57" s="6" t="n">
        <v>1</v>
      </c>
      <c r="D57" s="6" t="s">
        <v>60</v>
      </c>
      <c r="E57" s="12" t="n">
        <v>0.21232288488</v>
      </c>
      <c r="F57" s="12" t="n">
        <v>0.212324544510306</v>
      </c>
      <c r="G57" s="7" t="n">
        <f aca="false">IF(F57="","",IF(F57=E57,15,MIN(15,-LOG10(ABS(F57-E57)/ABS(E57)))))</f>
        <v>5.10698544967492</v>
      </c>
      <c r="H57" s="12" t="n">
        <v>0.51460022911</v>
      </c>
      <c r="I57" s="12" t="n">
        <v>0.51460025618602</v>
      </c>
      <c r="J57" s="7" t="n">
        <f aca="false">IF(I57="","",IF(I57=H57,15,MIN(15,-LOG10(ABS(I57-H57)/ABS(H57)))))</f>
        <v>7.27888514930342</v>
      </c>
    </row>
    <row r="58" customFormat="false" ht="15" hidden="false" customHeight="true" outlineLevel="0" collapsed="false">
      <c r="A58" s="6" t="s">
        <v>54</v>
      </c>
      <c r="B58" s="6" t="s">
        <v>55</v>
      </c>
      <c r="C58" s="6" t="n">
        <v>1</v>
      </c>
      <c r="D58" s="6" t="s">
        <v>61</v>
      </c>
      <c r="E58" s="12" t="n">
        <v>1.4966870418</v>
      </c>
      <c r="F58" s="12" t="n">
        <v>1.49668679699538</v>
      </c>
      <c r="G58" s="7" t="n">
        <f aca="false">IF(F58="","",IF(F58=E58,15,MIN(15,-LOG10(ABS(F58-E58)/ABS(E58)))))</f>
        <v>6.78631138910893</v>
      </c>
      <c r="H58" s="12" t="n">
        <v>0.25434468893</v>
      </c>
      <c r="I58" s="12" t="n">
        <v>0.254344476331614</v>
      </c>
      <c r="J58" s="7" t="n">
        <f aca="false">IF(I58="","",IF(I58=H58,15,MIN(15,-LOG10(ABS(I58-H58)/ABS(H58)))))</f>
        <v>6.07786271024473</v>
      </c>
    </row>
    <row r="59" customFormat="false" ht="15" hidden="false" customHeight="true" outlineLevel="0" collapsed="false">
      <c r="A59" s="6" t="s">
        <v>54</v>
      </c>
      <c r="B59" s="6" t="s">
        <v>55</v>
      </c>
      <c r="C59" s="6" t="n">
        <v>1</v>
      </c>
      <c r="D59" s="6" t="s">
        <v>47</v>
      </c>
      <c r="E59" s="12" t="n">
        <v>788.53978668</v>
      </c>
      <c r="F59" s="12" t="n">
        <v>788.539786683097</v>
      </c>
      <c r="G59" s="7" t="n">
        <f aca="false">IF(F59="","",IF(F59=E59,15,MIN(15,-LOG10(ABS(F59-E59)/ABS(E59)))))</f>
        <v>11.4058903783845</v>
      </c>
      <c r="H59" s="12"/>
      <c r="I59" s="12"/>
      <c r="J59" s="7"/>
    </row>
    <row r="60" customFormat="false" ht="15" hidden="false" customHeight="true" outlineLevel="0" collapsed="false">
      <c r="A60" s="6" t="s">
        <v>54</v>
      </c>
      <c r="B60" s="6" t="s">
        <v>55</v>
      </c>
      <c r="C60" s="6" t="n">
        <v>2</v>
      </c>
      <c r="D60" s="6" t="s">
        <v>44</v>
      </c>
      <c r="E60" s="12" t="n">
        <v>10.510749193</v>
      </c>
      <c r="F60" s="12" t="n">
        <v>10.5107491728535</v>
      </c>
      <c r="G60" s="7" t="n">
        <f aca="false">IF(F60="","",IF(F60=E60,15,MIN(15,-LOG10(ABS(F60-E60)/ABS(E60)))))</f>
        <v>8.71743403570543</v>
      </c>
      <c r="H60" s="12" t="n">
        <v>0.17488832467</v>
      </c>
      <c r="I60" s="12" t="n">
        <v>0.174888323635213</v>
      </c>
      <c r="J60" s="7" t="n">
        <f aca="false">IF(I60="","",IF(I60=H60,15,MIN(15,-LOG10(ABS(I60-H60)/ABS(H60)))))</f>
        <v>8.22790985087748</v>
      </c>
    </row>
    <row r="61" customFormat="false" ht="15" hidden="false" customHeight="true" outlineLevel="0" collapsed="false">
      <c r="A61" s="6" t="s">
        <v>54</v>
      </c>
      <c r="B61" s="6" t="s">
        <v>55</v>
      </c>
      <c r="C61" s="6" t="n">
        <v>2</v>
      </c>
      <c r="D61" s="6" t="s">
        <v>45</v>
      </c>
      <c r="E61" s="12" t="n">
        <v>3.0762128085</v>
      </c>
      <c r="F61" s="12" t="n">
        <v>3.07621283188021</v>
      </c>
      <c r="G61" s="7" t="n">
        <f aca="false">IF(F61="","",IF(F61=E61,15,MIN(15,-LOG10(ABS(F61-E61)/ABS(E61)))))</f>
        <v>8.11916796450936</v>
      </c>
      <c r="H61" s="12" t="n">
        <v>0.24310052139</v>
      </c>
      <c r="I61" s="12" t="n">
        <v>0.243100521244954</v>
      </c>
      <c r="J61" s="7" t="n">
        <f aca="false">IF(I61="","",IF(I61=H61,15,MIN(15,-LOG10(ABS(I61-H61)/ABS(H61)))))</f>
        <v>9.22428012479072</v>
      </c>
    </row>
    <row r="62" customFormat="false" ht="15" hidden="false" customHeight="true" outlineLevel="0" collapsed="false">
      <c r="A62" s="6" t="s">
        <v>54</v>
      </c>
      <c r="B62" s="6" t="s">
        <v>55</v>
      </c>
      <c r="C62" s="6" t="n">
        <v>2</v>
      </c>
      <c r="D62" s="6" t="s">
        <v>46</v>
      </c>
      <c r="E62" s="12" t="n">
        <v>0.53280138227</v>
      </c>
      <c r="F62" s="12" t="n">
        <v>0.532801401747485</v>
      </c>
      <c r="G62" s="7" t="n">
        <f aca="false">IF(F62="","",IF(F62=E62,15,MIN(15,-LOG10(ABS(F62-E62)/ABS(E62)))))</f>
        <v>7.43703246276651</v>
      </c>
      <c r="H62" s="12" t="n">
        <v>0.24354686618</v>
      </c>
      <c r="I62" s="12" t="n">
        <v>0.243546866561189</v>
      </c>
      <c r="J62" s="7" t="n">
        <f aca="false">IF(I62="","",IF(I62=H62,15,MIN(15,-LOG10(ABS(I62-H62)/ABS(H62)))))</f>
        <v>8.80544215777261</v>
      </c>
    </row>
    <row r="63" customFormat="false" ht="15" hidden="false" customHeight="true" outlineLevel="0" collapsed="false">
      <c r="A63" s="6" t="s">
        <v>54</v>
      </c>
      <c r="B63" s="6" t="s">
        <v>55</v>
      </c>
      <c r="C63" s="6" t="n">
        <v>2</v>
      </c>
      <c r="D63" s="6" t="s">
        <v>56</v>
      </c>
      <c r="E63" s="12" t="n">
        <v>44.3110887</v>
      </c>
      <c r="F63" s="12" t="n">
        <v>44.3110872268193</v>
      </c>
      <c r="G63" s="7" t="n">
        <f aca="false">IF(F63="","",IF(F63=E63,15,MIN(15,-LOG10(ABS(F63-E63)/ABS(E63)))))</f>
        <v>7.47825640125977</v>
      </c>
      <c r="H63" s="12" t="n">
        <v>0.94408025976</v>
      </c>
      <c r="I63" s="12" t="n">
        <v>0.944080462206949</v>
      </c>
      <c r="J63" s="7" t="n">
        <f aca="false">IF(I63="","",IF(I63=H63,15,MIN(15,-LOG10(ABS(I63-H63)/ABS(H63)))))</f>
        <v>6.66869768081881</v>
      </c>
    </row>
    <row r="64" customFormat="false" ht="15" hidden="false" customHeight="true" outlineLevel="0" collapsed="false">
      <c r="A64" s="6" t="s">
        <v>54</v>
      </c>
      <c r="B64" s="6" t="s">
        <v>55</v>
      </c>
      <c r="C64" s="6" t="n">
        <v>2</v>
      </c>
      <c r="D64" s="6" t="s">
        <v>57</v>
      </c>
      <c r="E64" s="12" t="n">
        <v>-1.6231428586</v>
      </c>
      <c r="F64" s="12" t="n">
        <v>-1.62314304303886</v>
      </c>
      <c r="G64" s="7" t="n">
        <f aca="false">IF(F64="","",IF(F64=E64,15,MIN(15,-LOG10(ABS(F64-E64)/ABS(E64)))))</f>
        <v>6.94450431618449</v>
      </c>
      <c r="H64" s="12" t="n">
        <v>0.28078369611</v>
      </c>
      <c r="I64" s="12" t="n">
        <v>0.280783787493403</v>
      </c>
      <c r="J64" s="7" t="n">
        <f aca="false">IF(I64="","",IF(I64=H64,15,MIN(15,-LOG10(ABS(I64-H64)/ABS(H64)))))</f>
        <v>6.48750455995406</v>
      </c>
    </row>
    <row r="65" customFormat="false" ht="15" hidden="false" customHeight="true" outlineLevel="0" collapsed="false">
      <c r="A65" s="6" t="s">
        <v>54</v>
      </c>
      <c r="B65" s="6" t="s">
        <v>55</v>
      </c>
      <c r="C65" s="6" t="n">
        <v>2</v>
      </c>
      <c r="D65" s="6" t="s">
        <v>58</v>
      </c>
      <c r="E65" s="12" t="n">
        <v>0.52554493756</v>
      </c>
      <c r="F65" s="12" t="n">
        <v>0.525544550864598</v>
      </c>
      <c r="G65" s="7" t="n">
        <f aca="false">IF(F65="","",IF(F65=E65,15,MIN(15,-LOG10(ABS(F65-E65)/ABS(E65)))))</f>
        <v>6.13324084883217</v>
      </c>
      <c r="H65" s="12" t="n">
        <v>0.48073701119</v>
      </c>
      <c r="I65" s="12" t="n">
        <v>0.480736975777982</v>
      </c>
      <c r="J65" s="7" t="n">
        <f aca="false">IF(I65="","",IF(I65=H65,15,MIN(15,-LOG10(ABS(I65-H65)/ABS(H65)))))</f>
        <v>7.1327568829563</v>
      </c>
    </row>
    <row r="66" customFormat="false" ht="15" hidden="false" customHeight="true" outlineLevel="0" collapsed="false">
      <c r="A66" s="6" t="s">
        <v>54</v>
      </c>
      <c r="B66" s="6" t="s">
        <v>55</v>
      </c>
      <c r="C66" s="6" t="n">
        <v>2</v>
      </c>
      <c r="D66" s="6" t="s">
        <v>59</v>
      </c>
      <c r="E66" s="12" t="n">
        <v>26.88761444</v>
      </c>
      <c r="F66" s="12" t="n">
        <v>26.8876128090036</v>
      </c>
      <c r="G66" s="7" t="n">
        <f aca="false">IF(F66="","",IF(F66=E66,15,MIN(15,-LOG10(ABS(F66-E66)/ABS(E66)))))</f>
        <v>7.21709926913051</v>
      </c>
      <c r="H66" s="12" t="n">
        <v>0.4161293913</v>
      </c>
      <c r="I66" s="12" t="n">
        <v>0.416129512923057</v>
      </c>
      <c r="J66" s="7" t="n">
        <f aca="false">IF(I66="","",IF(I66=H66,15,MIN(15,-LOG10(ABS(I66-H66)/ABS(H66)))))</f>
        <v>6.53421247590693</v>
      </c>
    </row>
    <row r="67" customFormat="false" ht="15" hidden="false" customHeight="true" outlineLevel="0" collapsed="false">
      <c r="A67" s="6" t="s">
        <v>54</v>
      </c>
      <c r="B67" s="6" t="s">
        <v>55</v>
      </c>
      <c r="C67" s="6" t="n">
        <v>2</v>
      </c>
      <c r="D67" s="6" t="s">
        <v>60</v>
      </c>
      <c r="E67" s="12" t="n">
        <v>0.21232288488</v>
      </c>
      <c r="F67" s="12" t="n">
        <v>0.212321423592801</v>
      </c>
      <c r="G67" s="7" t="n">
        <f aca="false">IF(F67="","",IF(F67=E67,15,MIN(15,-LOG10(ABS(F67-E67)/ABS(E67)))))</f>
        <v>5.16226122656968</v>
      </c>
      <c r="H67" s="12" t="n">
        <v>0.51460022911</v>
      </c>
      <c r="I67" s="12" t="n">
        <v>0.514600205271259</v>
      </c>
      <c r="J67" s="7" t="n">
        <f aca="false">IF(I67="","",IF(I67=H67,15,MIN(15,-LOG10(ABS(I67-H67)/ABS(H67)))))</f>
        <v>7.33418666037675</v>
      </c>
    </row>
    <row r="68" customFormat="false" ht="15" hidden="false" customHeight="true" outlineLevel="0" collapsed="false">
      <c r="A68" s="6" t="s">
        <v>54</v>
      </c>
      <c r="B68" s="6" t="s">
        <v>55</v>
      </c>
      <c r="C68" s="6" t="n">
        <v>2</v>
      </c>
      <c r="D68" s="6" t="s">
        <v>61</v>
      </c>
      <c r="E68" s="12" t="n">
        <v>1.4966870418</v>
      </c>
      <c r="F68" s="12" t="n">
        <v>1.49668725741311</v>
      </c>
      <c r="G68" s="7" t="n">
        <f aca="false">IF(F68="","",IF(F68=E68,15,MIN(15,-LOG10(ABS(F68-E68)/ABS(E68)))))</f>
        <v>6.84145583464302</v>
      </c>
      <c r="H68" s="12" t="n">
        <v>0.25434468893</v>
      </c>
      <c r="I68" s="12" t="n">
        <v>0.254344876126521</v>
      </c>
      <c r="J68" s="7" t="n">
        <f aca="false">IF(I68="","",IF(I68=H68,15,MIN(15,-LOG10(ABS(I68-H68)/ABS(H68)))))</f>
        <v>6.13312490015161</v>
      </c>
    </row>
    <row r="69" customFormat="false" ht="15" hidden="false" customHeight="true" outlineLevel="0" collapsed="false">
      <c r="A69" s="6" t="s">
        <v>54</v>
      </c>
      <c r="B69" s="6" t="s">
        <v>55</v>
      </c>
      <c r="C69" s="6" t="n">
        <v>2</v>
      </c>
      <c r="D69" s="6" t="s">
        <v>47</v>
      </c>
      <c r="E69" s="12" t="n">
        <v>788.53978668</v>
      </c>
      <c r="F69" s="12" t="n">
        <v>788.539786683055</v>
      </c>
      <c r="G69" s="7" t="n">
        <f aca="false">IF(F69="","",IF(F69=E69,15,MIN(15,-LOG10(ABS(F69-E69)/ABS(E69)))))</f>
        <v>11.4118134337619</v>
      </c>
      <c r="H69" s="12"/>
      <c r="I69" s="12"/>
      <c r="J69" s="7"/>
    </row>
    <row r="70" customFormat="false" ht="15" hidden="false" customHeight="true" outlineLevel="0" collapsed="false">
      <c r="A70" s="6" t="s">
        <v>62</v>
      </c>
      <c r="B70" s="6" t="s">
        <v>50</v>
      </c>
      <c r="C70" s="6" t="n">
        <v>1</v>
      </c>
      <c r="D70" s="6" t="s">
        <v>44</v>
      </c>
      <c r="E70" s="12" t="n">
        <v>98.778210871</v>
      </c>
      <c r="F70" s="12" t="n">
        <v>98.7782109095488</v>
      </c>
      <c r="G70" s="7" t="n">
        <f aca="false">IF(F70="","",IF(F70=E70,15,MIN(15,-LOG10(ABS(F70-E70)/ABS(E70)))))</f>
        <v>9.40865023567093</v>
      </c>
      <c r="H70" s="12" t="n">
        <v>0.5752731273</v>
      </c>
      <c r="I70" s="12" t="n">
        <v>0.57527310488089</v>
      </c>
      <c r="J70" s="7" t="n">
        <f aca="false">IF(I70="","",IF(I70=H70,15,MIN(15,-LOG10(ABS(I70-H70)/ABS(H70)))))</f>
        <v>7.40925571921771</v>
      </c>
    </row>
    <row r="71" customFormat="false" ht="15" hidden="false" customHeight="true" outlineLevel="0" collapsed="false">
      <c r="A71" s="6" t="s">
        <v>62</v>
      </c>
      <c r="B71" s="6" t="s">
        <v>50</v>
      </c>
      <c r="C71" s="6" t="n">
        <v>1</v>
      </c>
      <c r="D71" s="6" t="s">
        <v>45</v>
      </c>
      <c r="E71" s="12" t="n">
        <v>0.010497276517</v>
      </c>
      <c r="F71" s="12" t="n">
        <v>0.0104972765373113</v>
      </c>
      <c r="G71" s="7" t="n">
        <f aca="false">IF(F71="","",IF(F71=E71,15,MIN(15,-LOG10(ABS(F71-E71)/ABS(E71)))))</f>
        <v>8.71333892698287</v>
      </c>
      <c r="H71" s="12" t="n">
        <v>0.00011406289017</v>
      </c>
      <c r="I71" s="12" t="n">
        <v>0.000114062869221972</v>
      </c>
      <c r="J71" s="7" t="n">
        <f aca="false">IF(I71="","",IF(I71=H71,15,MIN(15,-LOG10(ABS(I71-H71)/ABS(H71)))))</f>
        <v>6.73600122583385</v>
      </c>
    </row>
    <row r="72" customFormat="false" ht="15" hidden="false" customHeight="true" outlineLevel="0" collapsed="false">
      <c r="A72" s="6" t="s">
        <v>62</v>
      </c>
      <c r="B72" s="6" t="s">
        <v>50</v>
      </c>
      <c r="C72" s="6" t="n">
        <v>1</v>
      </c>
      <c r="D72" s="6" t="s">
        <v>46</v>
      </c>
      <c r="E72" s="12" t="n">
        <v>100.48990633</v>
      </c>
      <c r="F72" s="12" t="n">
        <v>100.489906360471</v>
      </c>
      <c r="G72" s="7" t="n">
        <f aca="false">IF(F72="","",IF(F72=E72,15,MIN(15,-LOG10(ABS(F72-E72)/ABS(E72)))))</f>
        <v>9.51823573501057</v>
      </c>
      <c r="H72" s="12" t="n">
        <v>0.58831775752</v>
      </c>
      <c r="I72" s="12" t="n">
        <v>0.58831775164028</v>
      </c>
      <c r="J72" s="7" t="n">
        <f aca="false">IF(I72="","",IF(I72=H72,15,MIN(15,-LOG10(ABS(I72-H72)/ABS(H72)))))</f>
        <v>8.00025530897845</v>
      </c>
    </row>
    <row r="73" customFormat="false" ht="15" hidden="false" customHeight="true" outlineLevel="0" collapsed="false">
      <c r="A73" s="6" t="s">
        <v>62</v>
      </c>
      <c r="B73" s="6" t="s">
        <v>50</v>
      </c>
      <c r="C73" s="6" t="n">
        <v>1</v>
      </c>
      <c r="D73" s="6" t="s">
        <v>56</v>
      </c>
      <c r="E73" s="12" t="n">
        <v>67.481111276</v>
      </c>
      <c r="F73" s="12" t="n">
        <v>67.4811112770756</v>
      </c>
      <c r="G73" s="7" t="n">
        <f aca="false">IF(F73="","",IF(F73=E73,15,MIN(15,-LOG10(ABS(F73-E73)/ABS(E73)))))</f>
        <v>10.7975292590677</v>
      </c>
      <c r="H73" s="12" t="n">
        <v>0.10460593412</v>
      </c>
      <c r="I73" s="12" t="n">
        <v>0.104605933701271</v>
      </c>
      <c r="J73" s="7" t="n">
        <f aca="false">IF(I73="","",IF(I73=H73,15,MIN(15,-LOG10(ABS(I73-H73)/ABS(H73)))))</f>
        <v>8.39762328630678</v>
      </c>
    </row>
    <row r="74" customFormat="false" ht="15" hidden="false" customHeight="true" outlineLevel="0" collapsed="false">
      <c r="A74" s="6" t="s">
        <v>62</v>
      </c>
      <c r="B74" s="6" t="s">
        <v>50</v>
      </c>
      <c r="C74" s="6" t="n">
        <v>1</v>
      </c>
      <c r="D74" s="6" t="s">
        <v>57</v>
      </c>
      <c r="E74" s="12" t="n">
        <v>23.12977336</v>
      </c>
      <c r="F74" s="12" t="n">
        <v>23.1297733747655</v>
      </c>
      <c r="G74" s="7" t="n">
        <f aca="false">IF(F74="","",IF(F74=E74,15,MIN(15,-LOG10(ABS(F74-E74)/ABS(E74)))))</f>
        <v>9.19492329967671</v>
      </c>
      <c r="H74" s="12" t="n">
        <v>0.17439951146</v>
      </c>
      <c r="I74" s="12" t="n">
        <v>0.174399506004525</v>
      </c>
      <c r="J74" s="7" t="n">
        <f aca="false">IF(I74="","",IF(I74=H74,15,MIN(15,-LOG10(ABS(I74-H74)/ABS(H74)))))</f>
        <v>7.50471269500616</v>
      </c>
    </row>
    <row r="75" customFormat="false" ht="15" hidden="false" customHeight="true" outlineLevel="0" collapsed="false">
      <c r="A75" s="6" t="s">
        <v>62</v>
      </c>
      <c r="B75" s="6" t="s">
        <v>50</v>
      </c>
      <c r="C75" s="6" t="n">
        <v>1</v>
      </c>
      <c r="D75" s="6" t="s">
        <v>58</v>
      </c>
      <c r="E75" s="12" t="n">
        <v>71.994503004</v>
      </c>
      <c r="F75" s="12" t="n">
        <v>71.9945030338987</v>
      </c>
      <c r="G75" s="7" t="n">
        <f aca="false">IF(F75="","",IF(F75=E75,15,MIN(15,-LOG10(ABS(F75-E75)/ABS(E75)))))</f>
        <v>9.38164702659339</v>
      </c>
      <c r="H75" s="12" t="n">
        <v>0.62622793913</v>
      </c>
      <c r="I75" s="12" t="n">
        <v>0.626227951821778</v>
      </c>
      <c r="J75" s="7" t="n">
        <f aca="false">IF(I75="","",IF(I75=H75,15,MIN(15,-LOG10(ABS(I75-H75)/ABS(H75)))))</f>
        <v>7.69320997027231</v>
      </c>
    </row>
    <row r="76" customFormat="false" ht="15" hidden="false" customHeight="true" outlineLevel="0" collapsed="false">
      <c r="A76" s="6" t="s">
        <v>62</v>
      </c>
      <c r="B76" s="6" t="s">
        <v>50</v>
      </c>
      <c r="C76" s="6" t="n">
        <v>1</v>
      </c>
      <c r="D76" s="6" t="s">
        <v>59</v>
      </c>
      <c r="E76" s="12" t="n">
        <v>178.99805021</v>
      </c>
      <c r="F76" s="12" t="n">
        <v>178.998050202776</v>
      </c>
      <c r="G76" s="7" t="n">
        <f aca="false">IF(F76="","",IF(F76=E76,15,MIN(15,-LOG10(ABS(F76-E76)/ABS(E76)))))</f>
        <v>10.3940703989337</v>
      </c>
      <c r="H76" s="12" t="n">
        <v>0.12436988217</v>
      </c>
      <c r="I76" s="12" t="n">
        <v>0.124369883503143</v>
      </c>
      <c r="J76" s="7" t="n">
        <f aca="false">IF(I76="","",IF(I76=H76,15,MIN(15,-LOG10(ABS(I76-H76)/ABS(H76)))))</f>
        <v>7.96983848662537</v>
      </c>
    </row>
    <row r="77" customFormat="false" ht="15" hidden="false" customHeight="true" outlineLevel="0" collapsed="false">
      <c r="A77" s="6" t="s">
        <v>62</v>
      </c>
      <c r="B77" s="6" t="s">
        <v>50</v>
      </c>
      <c r="C77" s="6" t="n">
        <v>1</v>
      </c>
      <c r="D77" s="6" t="s">
        <v>60</v>
      </c>
      <c r="E77" s="12" t="n">
        <v>18.389389025</v>
      </c>
      <c r="F77" s="12" t="n">
        <v>18.3893890450621</v>
      </c>
      <c r="G77" s="7" t="n">
        <f aca="false">IF(F77="","",IF(F77=E77,15,MIN(15,-LOG10(ABS(F77-E77)/ABS(E77)))))</f>
        <v>8.9621909195243</v>
      </c>
      <c r="H77" s="12" t="n">
        <v>0.20134312832</v>
      </c>
      <c r="I77" s="12" t="n">
        <v>0.201343128939271</v>
      </c>
      <c r="J77" s="7" t="n">
        <f aca="false">IF(I77="","",IF(I77=H77,15,MIN(15,-LOG10(ABS(I77-H77)/ABS(H77)))))</f>
        <v>8.51205607236419</v>
      </c>
    </row>
    <row r="78" customFormat="false" ht="15" hidden="false" customHeight="true" outlineLevel="0" collapsed="false">
      <c r="A78" s="6" t="s">
        <v>62</v>
      </c>
      <c r="B78" s="6" t="s">
        <v>50</v>
      </c>
      <c r="C78" s="6" t="n">
        <v>1</v>
      </c>
      <c r="D78" s="6" t="s">
        <v>47</v>
      </c>
      <c r="E78" s="12" t="n">
        <v>1315.8222432</v>
      </c>
      <c r="F78" s="12" t="n">
        <v>1315.82224320338</v>
      </c>
      <c r="G78" s="7" t="n">
        <f aca="false">IF(F78="","",IF(F78=E78,15,MIN(15,-LOG10(ABS(F78-E78)/ABS(E78)))))</f>
        <v>11.5902921279619</v>
      </c>
      <c r="H78" s="12"/>
      <c r="I78" s="12"/>
      <c r="J78" s="7"/>
    </row>
    <row r="79" customFormat="false" ht="15" hidden="false" customHeight="true" outlineLevel="0" collapsed="false">
      <c r="A79" s="6" t="s">
        <v>62</v>
      </c>
      <c r="B79" s="6" t="s">
        <v>50</v>
      </c>
      <c r="C79" s="6" t="n">
        <v>2</v>
      </c>
      <c r="D79" s="6" t="s">
        <v>44</v>
      </c>
      <c r="E79" s="12" t="n">
        <v>98.778210871</v>
      </c>
      <c r="F79" s="12" t="n">
        <v>98.7782109100893</v>
      </c>
      <c r="G79" s="7" t="n">
        <f aca="false">IF(F79="","",IF(F79=E79,15,MIN(15,-LOG10(ABS(F79-E79)/ABS(E79)))))</f>
        <v>9.40260325480666</v>
      </c>
      <c r="H79" s="12" t="n">
        <v>0.5752731273</v>
      </c>
      <c r="I79" s="12" t="n">
        <v>0.575273127759183</v>
      </c>
      <c r="J79" s="7" t="n">
        <f aca="false">IF(I79="","",IF(I79=H79,15,MIN(15,-LOG10(ABS(I79-H79)/ABS(H79)))))</f>
        <v>9.09788826262428</v>
      </c>
    </row>
    <row r="80" customFormat="false" ht="15" hidden="false" customHeight="true" outlineLevel="0" collapsed="false">
      <c r="A80" s="6" t="s">
        <v>62</v>
      </c>
      <c r="B80" s="6" t="s">
        <v>50</v>
      </c>
      <c r="C80" s="6" t="n">
        <v>2</v>
      </c>
      <c r="D80" s="6" t="s">
        <v>45</v>
      </c>
      <c r="E80" s="12" t="n">
        <v>0.010497276517</v>
      </c>
      <c r="F80" s="12" t="n">
        <v>0.0104972765408964</v>
      </c>
      <c r="G80" s="7" t="n">
        <f aca="false">IF(F80="","",IF(F80=E80,15,MIN(15,-LOG10(ABS(F80-E80)/ABS(E80)))))</f>
        <v>8.64274414938106</v>
      </c>
      <c r="H80" s="12" t="n">
        <v>0.00011406289017</v>
      </c>
      <c r="I80" s="12" t="n">
        <v>0.000114062890597842</v>
      </c>
      <c r="J80" s="7" t="n">
        <f aca="false">IF(I80="","",IF(I80=H80,15,MIN(15,-LOG10(ABS(I80-H80)/ABS(H80)))))</f>
        <v>8.42586096300459</v>
      </c>
    </row>
    <row r="81" customFormat="false" ht="15" hidden="false" customHeight="true" outlineLevel="0" collapsed="false">
      <c r="A81" s="6" t="s">
        <v>62</v>
      </c>
      <c r="B81" s="6" t="s">
        <v>50</v>
      </c>
      <c r="C81" s="6" t="n">
        <v>2</v>
      </c>
      <c r="D81" s="6" t="s">
        <v>46</v>
      </c>
      <c r="E81" s="12" t="n">
        <v>100.48990633</v>
      </c>
      <c r="F81" s="12" t="n">
        <v>100.489906366444</v>
      </c>
      <c r="G81" s="7" t="n">
        <f aca="false">IF(F81="","",IF(F81=E81,15,MIN(15,-LOG10(ABS(F81-E81)/ABS(E81)))))</f>
        <v>9.44049632093485</v>
      </c>
      <c r="H81" s="12" t="n">
        <v>0.58831775752</v>
      </c>
      <c r="I81" s="12" t="n">
        <v>0.588317757624913</v>
      </c>
      <c r="J81" s="7" t="n">
        <f aca="false">IF(I81="","",IF(I81=H81,15,MIN(15,-LOG10(ABS(I81-H81)/ABS(H81)))))</f>
        <v>9.74878278699267</v>
      </c>
    </row>
    <row r="82" customFormat="false" ht="15" hidden="false" customHeight="true" outlineLevel="0" collapsed="false">
      <c r="A82" s="6" t="s">
        <v>62</v>
      </c>
      <c r="B82" s="6" t="s">
        <v>50</v>
      </c>
      <c r="C82" s="6" t="n">
        <v>2</v>
      </c>
      <c r="D82" s="6" t="s">
        <v>56</v>
      </c>
      <c r="E82" s="12" t="n">
        <v>67.481111276</v>
      </c>
      <c r="F82" s="12" t="n">
        <v>67.481111272011</v>
      </c>
      <c r="G82" s="7" t="n">
        <f aca="false">IF(F82="","",IF(F82=E82,15,MIN(15,-LOG10(ABS(F82-E82)/ABS(E82)))))</f>
        <v>10.2283196138273</v>
      </c>
      <c r="H82" s="12" t="n">
        <v>0.10460593412</v>
      </c>
      <c r="I82" s="12" t="n">
        <v>0.104605934141459</v>
      </c>
      <c r="J82" s="7" t="n">
        <f aca="false">IF(I82="","",IF(I82=H82,15,MIN(15,-LOG10(ABS(I82-H82)/ABS(H82)))))</f>
        <v>9.68794681711835</v>
      </c>
    </row>
    <row r="83" customFormat="false" ht="15" hidden="false" customHeight="true" outlineLevel="0" collapsed="false">
      <c r="A83" s="6" t="s">
        <v>62</v>
      </c>
      <c r="B83" s="6" t="s">
        <v>50</v>
      </c>
      <c r="C83" s="6" t="n">
        <v>2</v>
      </c>
      <c r="D83" s="6" t="s">
        <v>57</v>
      </c>
      <c r="E83" s="12" t="n">
        <v>23.12977336</v>
      </c>
      <c r="F83" s="12" t="n">
        <v>23.1297733792914</v>
      </c>
      <c r="G83" s="7" t="n">
        <f aca="false">IF(F83="","",IF(F83=E83,15,MIN(15,-LOG10(ABS(F83-E83)/ABS(E83)))))</f>
        <v>9.07880766049397</v>
      </c>
      <c r="H83" s="12" t="n">
        <v>0.17439951146</v>
      </c>
      <c r="I83" s="12" t="n">
        <v>0.174399511597773</v>
      </c>
      <c r="J83" s="7" t="n">
        <f aca="false">IF(I83="","",IF(I83=H83,15,MIN(15,-LOG10(ABS(I83-H83)/ABS(H83)))))</f>
        <v>9.1023811007999</v>
      </c>
    </row>
    <row r="84" customFormat="false" ht="15" hidden="false" customHeight="true" outlineLevel="0" collapsed="false">
      <c r="A84" s="6" t="s">
        <v>62</v>
      </c>
      <c r="B84" s="6" t="s">
        <v>50</v>
      </c>
      <c r="C84" s="6" t="n">
        <v>2</v>
      </c>
      <c r="D84" s="6" t="s">
        <v>58</v>
      </c>
      <c r="E84" s="12" t="n">
        <v>71.994503004</v>
      </c>
      <c r="F84" s="12" t="n">
        <v>71.9945030426906</v>
      </c>
      <c r="G84" s="7" t="n">
        <f aca="false">IF(F84="","",IF(F84=E84,15,MIN(15,-LOG10(ABS(F84-E84)/ABS(E84)))))</f>
        <v>9.26969386274435</v>
      </c>
      <c r="H84" s="12" t="n">
        <v>0.62622793913</v>
      </c>
      <c r="I84" s="12" t="n">
        <v>0.626227938814154</v>
      </c>
      <c r="J84" s="7" t="n">
        <f aca="false">IF(I84="","",IF(I84=H84,15,MIN(15,-LOG10(ABS(I84-H84)/ABS(H84)))))</f>
        <v>9.29725703654341</v>
      </c>
    </row>
    <row r="85" customFormat="false" ht="15" hidden="false" customHeight="true" outlineLevel="0" collapsed="false">
      <c r="A85" s="6" t="s">
        <v>62</v>
      </c>
      <c r="B85" s="6" t="s">
        <v>50</v>
      </c>
      <c r="C85" s="6" t="n">
        <v>2</v>
      </c>
      <c r="D85" s="6" t="s">
        <v>59</v>
      </c>
      <c r="E85" s="12" t="n">
        <v>178.99805021</v>
      </c>
      <c r="F85" s="12" t="n">
        <v>178.998050199419</v>
      </c>
      <c r="G85" s="7" t="n">
        <f aca="false">IF(F85="","",IF(F85=E85,15,MIN(15,-LOG10(ABS(F85-E85)/ABS(E85)))))</f>
        <v>10.2283214005361</v>
      </c>
      <c r="H85" s="12" t="n">
        <v>0.12436988217</v>
      </c>
      <c r="I85" s="12" t="n">
        <v>0.124369882181565</v>
      </c>
      <c r="J85" s="7" t="n">
        <f aca="false">IF(I85="","",IF(I85=H85,15,MIN(15,-LOG10(ABS(I85-H85)/ABS(H85)))))</f>
        <v>10.0315696248755</v>
      </c>
    </row>
    <row r="86" customFormat="false" ht="15" hidden="false" customHeight="true" outlineLevel="0" collapsed="false">
      <c r="A86" s="6" t="s">
        <v>62</v>
      </c>
      <c r="B86" s="6" t="s">
        <v>50</v>
      </c>
      <c r="C86" s="6" t="n">
        <v>2</v>
      </c>
      <c r="D86" s="6" t="s">
        <v>60</v>
      </c>
      <c r="E86" s="12" t="n">
        <v>18.389389025</v>
      </c>
      <c r="F86" s="12" t="n">
        <v>18.3893890475011</v>
      </c>
      <c r="G86" s="7" t="n">
        <f aca="false">IF(F86="","",IF(F86=E86,15,MIN(15,-LOG10(ABS(F86-E86)/ABS(E86)))))</f>
        <v>8.91236352303687</v>
      </c>
      <c r="H86" s="12" t="n">
        <v>0.20134312832</v>
      </c>
      <c r="I86" s="12" t="n">
        <v>0.201343128385613</v>
      </c>
      <c r="J86" s="7" t="n">
        <f aca="false">IF(I86="","",IF(I86=H86,15,MIN(15,-LOG10(ABS(I86-H86)/ABS(H86)))))</f>
        <v>9.48694700105803</v>
      </c>
    </row>
    <row r="87" customFormat="false" ht="15" hidden="false" customHeight="true" outlineLevel="0" collapsed="false">
      <c r="A87" s="6" t="s">
        <v>62</v>
      </c>
      <c r="B87" s="6" t="s">
        <v>50</v>
      </c>
      <c r="C87" s="6" t="n">
        <v>2</v>
      </c>
      <c r="D87" s="6" t="s">
        <v>47</v>
      </c>
      <c r="E87" s="12" t="n">
        <v>1315.8222432</v>
      </c>
      <c r="F87" s="12" t="n">
        <v>1315.82224320338</v>
      </c>
      <c r="G87" s="7" t="n">
        <f aca="false">IF(F87="","",IF(F87=E87,15,MIN(15,-LOG10(ABS(F87-E87)/ABS(E87)))))</f>
        <v>11.5902921279619</v>
      </c>
      <c r="H87" s="12"/>
      <c r="I87" s="12"/>
      <c r="J87" s="7"/>
    </row>
    <row r="88" customFormat="false" ht="15" hidden="false" customHeight="true" outlineLevel="0" collapsed="false">
      <c r="A88" s="6" t="s">
        <v>63</v>
      </c>
      <c r="B88" s="6" t="s">
        <v>50</v>
      </c>
      <c r="C88" s="6" t="n">
        <v>1</v>
      </c>
      <c r="D88" s="6" t="s">
        <v>44</v>
      </c>
      <c r="E88" s="12" t="n">
        <v>99.018328406</v>
      </c>
      <c r="F88" s="12" t="n">
        <v>99.0183284067184</v>
      </c>
      <c r="G88" s="7" t="n">
        <f aca="false">IF(F88="","",IF(F88=E88,15,MIN(15,-LOG10(ABS(F88-E88)/ABS(E88)))))</f>
        <v>11.1393484576722</v>
      </c>
      <c r="H88" s="12" t="n">
        <v>0.53748766879</v>
      </c>
      <c r="I88" s="12" t="n">
        <v>0.537487667805075</v>
      </c>
      <c r="J88" s="7" t="n">
        <f aca="false">IF(I88="","",IF(I88=H88,15,MIN(15,-LOG10(ABS(I88-H88)/ABS(H88)))))</f>
        <v>8.73696533043674</v>
      </c>
    </row>
    <row r="89" customFormat="false" ht="15" hidden="false" customHeight="true" outlineLevel="0" collapsed="false">
      <c r="A89" s="6" t="s">
        <v>63</v>
      </c>
      <c r="B89" s="6" t="s">
        <v>50</v>
      </c>
      <c r="C89" s="6" t="n">
        <v>1</v>
      </c>
      <c r="D89" s="6" t="s">
        <v>45</v>
      </c>
      <c r="E89" s="12" t="n">
        <v>0.010994945399</v>
      </c>
      <c r="F89" s="12" t="n">
        <v>0.0109949453989231</v>
      </c>
      <c r="G89" s="7" t="n">
        <f aca="false">IF(F89="","",IF(F89=E89,15,MIN(15,-LOG10(ABS(F89-E89)/ABS(E89)))))</f>
        <v>11.1552650898673</v>
      </c>
      <c r="H89" s="12" t="n">
        <v>0.00013335306766</v>
      </c>
      <c r="I89" s="12" t="n">
        <v>0.000133353067038832</v>
      </c>
      <c r="J89" s="7" t="n">
        <f aca="false">IF(I89="","",IF(I89=H89,15,MIN(15,-LOG10(ABS(I89-H89)/ABS(H89)))))</f>
        <v>8.3317939217918</v>
      </c>
    </row>
    <row r="90" customFormat="false" ht="15" hidden="false" customHeight="true" outlineLevel="0" collapsed="false">
      <c r="A90" s="6" t="s">
        <v>63</v>
      </c>
      <c r="B90" s="6" t="s">
        <v>50</v>
      </c>
      <c r="C90" s="6" t="n">
        <v>1</v>
      </c>
      <c r="D90" s="6" t="s">
        <v>46</v>
      </c>
      <c r="E90" s="12" t="n">
        <v>101.88022528</v>
      </c>
      <c r="F90" s="12" t="n">
        <v>101.880225275877</v>
      </c>
      <c r="G90" s="7" t="n">
        <f aca="false">IF(F90="","",IF(F90=E90,15,MIN(15,-LOG10(ABS(F90-E90)/ABS(E90)))))</f>
        <v>10.3928755622553</v>
      </c>
      <c r="H90" s="12" t="n">
        <v>0.59217315772</v>
      </c>
      <c r="I90" s="12" t="n">
        <v>0.592173157771132</v>
      </c>
      <c r="J90" s="7" t="n">
        <f aca="false">IF(I90="","",IF(I90=H90,15,MIN(15,-LOG10(ABS(I90-H90)/ABS(H90)))))</f>
        <v>10.0637560432543</v>
      </c>
    </row>
    <row r="91" customFormat="false" ht="15" hidden="false" customHeight="true" outlineLevel="0" collapsed="false">
      <c r="A91" s="6" t="s">
        <v>63</v>
      </c>
      <c r="B91" s="6" t="s">
        <v>50</v>
      </c>
      <c r="C91" s="6" t="n">
        <v>1</v>
      </c>
      <c r="D91" s="6" t="s">
        <v>56</v>
      </c>
      <c r="E91" s="12" t="n">
        <v>107.03095519</v>
      </c>
      <c r="F91" s="12" t="n">
        <v>107.030955185497</v>
      </c>
      <c r="G91" s="7" t="n">
        <f aca="false">IF(F91="","",IF(F91=E91,15,MIN(15,-LOG10(ABS(F91-E91)/ABS(E91)))))</f>
        <v>10.3760080779662</v>
      </c>
      <c r="H91" s="12" t="n">
        <v>0.15006798316</v>
      </c>
      <c r="I91" s="12" t="n">
        <v>0.150067982465223</v>
      </c>
      <c r="J91" s="7" t="n">
        <f aca="false">IF(I91="","",IF(I91=H91,15,MIN(15,-LOG10(ABS(I91-H91)/ABS(H91)))))</f>
        <v>8.33444260424582</v>
      </c>
    </row>
    <row r="92" customFormat="false" ht="15" hidden="false" customHeight="true" outlineLevel="0" collapsed="false">
      <c r="A92" s="6" t="s">
        <v>63</v>
      </c>
      <c r="B92" s="6" t="s">
        <v>50</v>
      </c>
      <c r="C92" s="6" t="n">
        <v>1</v>
      </c>
      <c r="D92" s="6" t="s">
        <v>57</v>
      </c>
      <c r="E92" s="12" t="n">
        <v>23.578584029</v>
      </c>
      <c r="F92" s="12" t="n">
        <v>23.578584028093</v>
      </c>
      <c r="G92" s="7" t="n">
        <f aca="false">IF(F92="","",IF(F92=E92,15,MIN(15,-LOG10(ABS(F92-E92)/ABS(E92)))))</f>
        <v>10.4149101000485</v>
      </c>
      <c r="H92" s="12" t="n">
        <v>0.22695595067</v>
      </c>
      <c r="I92" s="12" t="n">
        <v>0.226955950048986</v>
      </c>
      <c r="J92" s="7" t="n">
        <f aca="false">IF(I92="","",IF(I92=H92,15,MIN(15,-LOG10(ABS(I92-H92)/ABS(H92)))))</f>
        <v>8.56284019011643</v>
      </c>
    </row>
    <row r="93" customFormat="false" ht="15" hidden="false" customHeight="true" outlineLevel="0" collapsed="false">
      <c r="A93" s="6" t="s">
        <v>63</v>
      </c>
      <c r="B93" s="6" t="s">
        <v>50</v>
      </c>
      <c r="C93" s="6" t="n">
        <v>1</v>
      </c>
      <c r="D93" s="6" t="s">
        <v>58</v>
      </c>
      <c r="E93" s="12" t="n">
        <v>72.045589471</v>
      </c>
      <c r="F93" s="12" t="n">
        <v>72.0455894697656</v>
      </c>
      <c r="G93" s="7" t="n">
        <f aca="false">IF(F93="","",IF(F93=E93,15,MIN(15,-LOG10(ABS(F93-E93)/ABS(E93)))))</f>
        <v>10.7661523750369</v>
      </c>
      <c r="H93" s="12" t="n">
        <v>0.61721965884</v>
      </c>
      <c r="I93" s="12" t="n">
        <v>0.617219659592251</v>
      </c>
      <c r="J93" s="7" t="n">
        <f aca="false">IF(I93="","",IF(I93=H93,15,MIN(15,-LOG10(ABS(I93-H93)/ABS(H93)))))</f>
        <v>8.91407695377576</v>
      </c>
    </row>
    <row r="94" customFormat="false" ht="15" hidden="false" customHeight="true" outlineLevel="0" collapsed="false">
      <c r="A94" s="6" t="s">
        <v>63</v>
      </c>
      <c r="B94" s="6" t="s">
        <v>50</v>
      </c>
      <c r="C94" s="6" t="n">
        <v>1</v>
      </c>
      <c r="D94" s="6" t="s">
        <v>59</v>
      </c>
      <c r="E94" s="12" t="n">
        <v>153.27010194</v>
      </c>
      <c r="F94" s="12" t="n">
        <v>153.270101941125</v>
      </c>
      <c r="G94" s="7" t="n">
        <f aca="false">IF(F94="","",IF(F94=E94,15,MIN(15,-LOG10(ABS(F94-E94)/ABS(E94)))))</f>
        <v>11.1342985447854</v>
      </c>
      <c r="H94" s="12" t="n">
        <v>0.19466674341</v>
      </c>
      <c r="I94" s="12" t="n">
        <v>0.194666742017413</v>
      </c>
      <c r="J94" s="7" t="n">
        <f aca="false">IF(I94="","",IF(I94=H94,15,MIN(15,-LOG10(ABS(I94-H94)/ABS(H94)))))</f>
        <v>8.1454694213578</v>
      </c>
    </row>
    <row r="95" customFormat="false" ht="15" hidden="false" customHeight="true" outlineLevel="0" collapsed="false">
      <c r="A95" s="6" t="s">
        <v>63</v>
      </c>
      <c r="B95" s="6" t="s">
        <v>50</v>
      </c>
      <c r="C95" s="6" t="n">
        <v>1</v>
      </c>
      <c r="D95" s="6" t="s">
        <v>60</v>
      </c>
      <c r="E95" s="12" t="n">
        <v>19.525972636</v>
      </c>
      <c r="F95" s="12" t="n">
        <v>19.5259726379381</v>
      </c>
      <c r="G95" s="7" t="n">
        <f aca="false">IF(F95="","",IF(F95=E95,15,MIN(15,-LOG10(ABS(F95-E95)/ABS(E95)))))</f>
        <v>10.0032362180416</v>
      </c>
      <c r="H95" s="12" t="n">
        <v>0.26416549393</v>
      </c>
      <c r="I95" s="12" t="n">
        <v>0.264165492354171</v>
      </c>
      <c r="J95" s="7" t="n">
        <f aca="false">IF(I95="","",IF(I95=H95,15,MIN(15,-LOG10(ABS(I95-H95)/ABS(H95)))))</f>
        <v>8.22436700863138</v>
      </c>
    </row>
    <row r="96" customFormat="false" ht="15" hidden="false" customHeight="true" outlineLevel="0" collapsed="false">
      <c r="A96" s="6" t="s">
        <v>63</v>
      </c>
      <c r="B96" s="6" t="s">
        <v>50</v>
      </c>
      <c r="C96" s="6" t="n">
        <v>1</v>
      </c>
      <c r="D96" s="6" t="s">
        <v>47</v>
      </c>
      <c r="E96" s="12" t="n">
        <v>1247.5282092</v>
      </c>
      <c r="F96" s="12" t="n">
        <v>1247.528209231</v>
      </c>
      <c r="G96" s="7" t="n">
        <f aca="false">IF(F96="","",IF(F96=E96,15,MIN(15,-LOG10(ABS(F96-E96)/ABS(E96)))))</f>
        <v>10.6046900883201</v>
      </c>
      <c r="H96" s="12"/>
      <c r="I96" s="12"/>
      <c r="J96" s="7"/>
    </row>
    <row r="97" customFormat="false" ht="15" hidden="false" customHeight="true" outlineLevel="0" collapsed="false">
      <c r="A97" s="6" t="s">
        <v>63</v>
      </c>
      <c r="B97" s="6" t="s">
        <v>50</v>
      </c>
      <c r="C97" s="6" t="n">
        <v>2</v>
      </c>
      <c r="D97" s="6" t="s">
        <v>44</v>
      </c>
      <c r="E97" s="12" t="n">
        <v>99.018328406</v>
      </c>
      <c r="F97" s="12" t="n">
        <v>99.0183284060644</v>
      </c>
      <c r="G97" s="7" t="n">
        <f aca="false">IF(F97="","",IF(F97=E97,15,MIN(15,-LOG10(ABS(F97-E97)/ABS(E97)))))</f>
        <v>12.1868054897963</v>
      </c>
      <c r="H97" s="12" t="n">
        <v>0.53748766879</v>
      </c>
      <c r="I97" s="12" t="n">
        <v>0.537487669507139</v>
      </c>
      <c r="J97" s="7" t="n">
        <f aca="false">IF(I97="","",IF(I97=H97,15,MIN(15,-LOG10(ABS(I97-H97)/ABS(H97)))))</f>
        <v>8.87476515471844</v>
      </c>
    </row>
    <row r="98" customFormat="false" ht="15" hidden="false" customHeight="true" outlineLevel="0" collapsed="false">
      <c r="A98" s="6" t="s">
        <v>63</v>
      </c>
      <c r="B98" s="6" t="s">
        <v>50</v>
      </c>
      <c r="C98" s="6" t="n">
        <v>2</v>
      </c>
      <c r="D98" s="6" t="s">
        <v>45</v>
      </c>
      <c r="E98" s="12" t="n">
        <v>0.010994945399</v>
      </c>
      <c r="F98" s="12" t="n">
        <v>0.0109949453990854</v>
      </c>
      <c r="G98" s="7" t="n">
        <f aca="false">IF(F98="","",IF(F98=E98,15,MIN(15,-LOG10(ABS(F98-E98)/ABS(E98)))))</f>
        <v>11.109741807228</v>
      </c>
      <c r="H98" s="12" t="n">
        <v>0.00013335306766</v>
      </c>
      <c r="I98" s="12" t="n">
        <v>0.000133353068296816</v>
      </c>
      <c r="J98" s="7" t="n">
        <f aca="false">IF(I98="","",IF(I98=H98,15,MIN(15,-LOG10(ABS(I98-H98)/ABS(H98)))))</f>
        <v>8.32098905428794</v>
      </c>
    </row>
    <row r="99" customFormat="false" ht="15" hidden="false" customHeight="true" outlineLevel="0" collapsed="false">
      <c r="A99" s="6" t="s">
        <v>63</v>
      </c>
      <c r="B99" s="6" t="s">
        <v>50</v>
      </c>
      <c r="C99" s="6" t="n">
        <v>2</v>
      </c>
      <c r="D99" s="6" t="s">
        <v>46</v>
      </c>
      <c r="E99" s="12" t="n">
        <v>101.88022528</v>
      </c>
      <c r="F99" s="12" t="n">
        <v>101.880225273483</v>
      </c>
      <c r="G99" s="7" t="n">
        <f aca="false">IF(F99="","",IF(F99=E99,15,MIN(15,-LOG10(ABS(F99-E99)/ABS(E99)))))</f>
        <v>10.1940422758191</v>
      </c>
      <c r="H99" s="12" t="n">
        <v>0.59217315772</v>
      </c>
      <c r="I99" s="12" t="n">
        <v>0.592173156848729</v>
      </c>
      <c r="J99" s="7" t="n">
        <f aca="false">IF(I99="","",IF(I99=H99,15,MIN(15,-LOG10(ABS(I99-H99)/ABS(H99)))))</f>
        <v>8.83229543113579</v>
      </c>
    </row>
    <row r="100" customFormat="false" ht="15" hidden="false" customHeight="true" outlineLevel="0" collapsed="false">
      <c r="A100" s="6" t="s">
        <v>63</v>
      </c>
      <c r="B100" s="6" t="s">
        <v>50</v>
      </c>
      <c r="C100" s="6" t="n">
        <v>2</v>
      </c>
      <c r="D100" s="6" t="s">
        <v>56</v>
      </c>
      <c r="E100" s="12" t="n">
        <v>107.03095519</v>
      </c>
      <c r="F100" s="12" t="n">
        <v>107.030955187316</v>
      </c>
      <c r="G100" s="7" t="n">
        <f aca="false">IF(F100="","",IF(F100=E100,15,MIN(15,-LOG10(ABS(F100-E100)/ABS(E100)))))</f>
        <v>10.6007262214975</v>
      </c>
      <c r="H100" s="12" t="n">
        <v>0.15006798316</v>
      </c>
      <c r="I100" s="12" t="n">
        <v>0.150067983514223</v>
      </c>
      <c r="J100" s="7" t="n">
        <f aca="false">IF(I100="","",IF(I100=H100,15,MIN(15,-LOG10(ABS(I100-H100)/ABS(H100)))))</f>
        <v>8.62701127424094</v>
      </c>
    </row>
    <row r="101" customFormat="false" ht="15" hidden="false" customHeight="true" outlineLevel="0" collapsed="false">
      <c r="A101" s="6" t="s">
        <v>63</v>
      </c>
      <c r="B101" s="6" t="s">
        <v>50</v>
      </c>
      <c r="C101" s="6" t="n">
        <v>2</v>
      </c>
      <c r="D101" s="6" t="s">
        <v>57</v>
      </c>
      <c r="E101" s="12" t="n">
        <v>23.578584029</v>
      </c>
      <c r="F101" s="12" t="n">
        <v>23.5785840319155</v>
      </c>
      <c r="G101" s="7" t="n">
        <f aca="false">IF(F101="","",IF(F101=E101,15,MIN(15,-LOG10(ABS(F101-E101)/ABS(E101)))))</f>
        <v>9.90780483088914</v>
      </c>
      <c r="H101" s="12" t="n">
        <v>0.22695595067</v>
      </c>
      <c r="I101" s="12" t="n">
        <v>0.226955952138396</v>
      </c>
      <c r="J101" s="7" t="n">
        <f aca="false">IF(I101="","",IF(I101=H101,15,MIN(15,-LOG10(ABS(I101-H101)/ABS(H101)))))</f>
        <v>8.18909837672037</v>
      </c>
    </row>
    <row r="102" customFormat="false" ht="15" hidden="false" customHeight="true" outlineLevel="0" collapsed="false">
      <c r="A102" s="6" t="s">
        <v>63</v>
      </c>
      <c r="B102" s="6" t="s">
        <v>50</v>
      </c>
      <c r="C102" s="6" t="n">
        <v>2</v>
      </c>
      <c r="D102" s="6" t="s">
        <v>58</v>
      </c>
      <c r="E102" s="12" t="n">
        <v>72.045589471</v>
      </c>
      <c r="F102" s="12" t="n">
        <v>72.0455894700276</v>
      </c>
      <c r="G102" s="7" t="n">
        <f aca="false">IF(F102="","",IF(F102=E102,15,MIN(15,-LOG10(ABS(F102-E102)/ABS(E102)))))</f>
        <v>10.8697596996874</v>
      </c>
      <c r="H102" s="12" t="n">
        <v>0.61721965884</v>
      </c>
      <c r="I102" s="12" t="n">
        <v>0.61721966050924</v>
      </c>
      <c r="J102" s="7" t="n">
        <f aca="false">IF(I102="","",IF(I102=H102,15,MIN(15,-LOG10(ABS(I102-H102)/ABS(H102)))))</f>
        <v>8.56792094632198</v>
      </c>
    </row>
    <row r="103" customFormat="false" ht="15" hidden="false" customHeight="true" outlineLevel="0" collapsed="false">
      <c r="A103" s="6" t="s">
        <v>63</v>
      </c>
      <c r="B103" s="6" t="s">
        <v>50</v>
      </c>
      <c r="C103" s="6" t="n">
        <v>2</v>
      </c>
      <c r="D103" s="6" t="s">
        <v>59</v>
      </c>
      <c r="E103" s="12" t="n">
        <v>153.27010194</v>
      </c>
      <c r="F103" s="12" t="n">
        <v>153.270101943764</v>
      </c>
      <c r="G103" s="7" t="n">
        <f aca="false">IF(F103="","",IF(F103=E103,15,MIN(15,-LOG10(ABS(F103-E103)/ABS(E103)))))</f>
        <v>10.6098077545709</v>
      </c>
      <c r="H103" s="12" t="n">
        <v>0.19466674341</v>
      </c>
      <c r="I103" s="12" t="n">
        <v>0.194666742490653</v>
      </c>
      <c r="J103" s="7" t="n">
        <f aca="false">IF(I103="","",IF(I103=H103,15,MIN(15,-LOG10(ABS(I103-H103)/ABS(H103)))))</f>
        <v>8.32581229320571</v>
      </c>
    </row>
    <row r="104" customFormat="false" ht="15" hidden="false" customHeight="true" outlineLevel="0" collapsed="false">
      <c r="A104" s="6" t="s">
        <v>63</v>
      </c>
      <c r="B104" s="6" t="s">
        <v>50</v>
      </c>
      <c r="C104" s="6" t="n">
        <v>2</v>
      </c>
      <c r="D104" s="6" t="s">
        <v>60</v>
      </c>
      <c r="E104" s="12" t="n">
        <v>19.525972636</v>
      </c>
      <c r="F104" s="12" t="n">
        <v>19.5259726341797</v>
      </c>
      <c r="G104" s="7" t="n">
        <f aca="false">IF(F104="","",IF(F104=E104,15,MIN(15,-LOG10(ABS(F104-E104)/ABS(E104)))))</f>
        <v>10.0304696225883</v>
      </c>
      <c r="H104" s="12" t="n">
        <v>0.26416549393</v>
      </c>
      <c r="I104" s="12" t="n">
        <v>0.264165492029844</v>
      </c>
      <c r="J104" s="7" t="n">
        <f aca="false">IF(I104="","",IF(I104=H104,15,MIN(15,-LOG10(ABS(I104-H104)/ABS(H104)))))</f>
        <v>8.14308683607003</v>
      </c>
    </row>
    <row r="105" customFormat="false" ht="15" hidden="false" customHeight="true" outlineLevel="0" collapsed="false">
      <c r="A105" s="6" t="s">
        <v>63</v>
      </c>
      <c r="B105" s="6" t="s">
        <v>50</v>
      </c>
      <c r="C105" s="6" t="n">
        <v>2</v>
      </c>
      <c r="D105" s="6" t="s">
        <v>47</v>
      </c>
      <c r="E105" s="12" t="n">
        <v>1247.5282092</v>
      </c>
      <c r="F105" s="12" t="n">
        <v>1247.528209231</v>
      </c>
      <c r="G105" s="7" t="n">
        <f aca="false">IF(F105="","",IF(F105=E105,15,MIN(15,-LOG10(ABS(F105-E105)/ABS(E105)))))</f>
        <v>10.6046900883201</v>
      </c>
      <c r="H105" s="12"/>
      <c r="I105" s="12"/>
      <c r="J105" s="7"/>
    </row>
    <row r="106" customFormat="false" ht="15" hidden="false" customHeight="true" outlineLevel="0" collapsed="false">
      <c r="A106" s="6" t="s">
        <v>64</v>
      </c>
      <c r="B106" s="6" t="s">
        <v>55</v>
      </c>
      <c r="C106" s="6" t="n">
        <v>1</v>
      </c>
      <c r="D106" s="6" t="s">
        <v>44</v>
      </c>
      <c r="E106" s="12" t="n">
        <v>98.94036897</v>
      </c>
      <c r="F106" s="12" t="n">
        <v>98.9403689698841</v>
      </c>
      <c r="G106" s="7" t="n">
        <f aca="false">IF(F106="","",IF(F106=E106,15,MIN(15,-LOG10(ABS(F106-E106)/ABS(E106)))))</f>
        <v>11.9313293607759</v>
      </c>
      <c r="H106" s="12" t="n">
        <v>0.53005192833</v>
      </c>
      <c r="I106" s="12" t="n">
        <v>0.530051928326485</v>
      </c>
      <c r="J106" s="7" t="n">
        <f aca="false">IF(I106="","",IF(I106=H106,15,MIN(15,-LOG10(ABS(I106-H106)/ABS(H106)))))</f>
        <v>11.1783835612438</v>
      </c>
    </row>
    <row r="107" customFormat="false" ht="15" hidden="false" customHeight="true" outlineLevel="0" collapsed="false">
      <c r="A107" s="6" t="s">
        <v>64</v>
      </c>
      <c r="B107" s="6" t="s">
        <v>55</v>
      </c>
      <c r="C107" s="6" t="n">
        <v>1</v>
      </c>
      <c r="D107" s="6" t="s">
        <v>45</v>
      </c>
      <c r="E107" s="12" t="n">
        <v>0.010945879335</v>
      </c>
      <c r="F107" s="12" t="n">
        <v>0.0109458793348603</v>
      </c>
      <c r="G107" s="7" t="n">
        <f aca="false">IF(F107="","",IF(F107=E107,15,MIN(15,-LOG10(ABS(F107-E107)/ABS(E107)))))</f>
        <v>10.8940519155757</v>
      </c>
      <c r="H107" s="12" t="n">
        <v>0.00012554058911</v>
      </c>
      <c r="I107" s="12" t="n">
        <v>0.000125540589105157</v>
      </c>
      <c r="J107" s="7" t="n">
        <f aca="false">IF(I107="","",IF(I107=H107,15,MIN(15,-LOG10(ABS(I107-H107)/ABS(H107)))))</f>
        <v>10.4136700896692</v>
      </c>
    </row>
    <row r="108" customFormat="false" ht="15" hidden="false" customHeight="true" outlineLevel="0" collapsed="false">
      <c r="A108" s="6" t="s">
        <v>64</v>
      </c>
      <c r="B108" s="6" t="s">
        <v>55</v>
      </c>
      <c r="C108" s="6" t="n">
        <v>1</v>
      </c>
      <c r="D108" s="6" t="s">
        <v>46</v>
      </c>
      <c r="E108" s="12" t="n">
        <v>100.69553078</v>
      </c>
      <c r="F108" s="12" t="n">
        <v>100.695530777779</v>
      </c>
      <c r="G108" s="7" t="n">
        <f aca="false">IF(F108="","",IF(F108=E108,15,MIN(15,-LOG10(ABS(F108-E108)/ABS(E108)))))</f>
        <v>10.656461583623</v>
      </c>
      <c r="H108" s="12" t="n">
        <v>0.81256587317</v>
      </c>
      <c r="I108" s="12" t="n">
        <v>0.812565873206894</v>
      </c>
      <c r="J108" s="7" t="n">
        <f aca="false">IF(I108="","",IF(I108=H108,15,MIN(15,-LOG10(ABS(I108-H108)/ABS(H108)))))</f>
        <v>10.3429023244819</v>
      </c>
    </row>
    <row r="109" customFormat="false" ht="15" hidden="false" customHeight="true" outlineLevel="0" collapsed="false">
      <c r="A109" s="6" t="s">
        <v>64</v>
      </c>
      <c r="B109" s="6" t="s">
        <v>55</v>
      </c>
      <c r="C109" s="6" t="n">
        <v>1</v>
      </c>
      <c r="D109" s="6" t="s">
        <v>56</v>
      </c>
      <c r="E109" s="12" t="n">
        <v>111.63619459</v>
      </c>
      <c r="F109" s="12" t="n">
        <v>111.636194586932</v>
      </c>
      <c r="G109" s="7" t="n">
        <f aca="false">IF(F109="","",IF(F109=E109,15,MIN(15,-LOG10(ABS(F109-E109)/ABS(E109)))))</f>
        <v>10.5609502865833</v>
      </c>
      <c r="H109" s="12" t="n">
        <v>0.35317859757</v>
      </c>
      <c r="I109" s="12" t="n">
        <v>0.353178597571796</v>
      </c>
      <c r="J109" s="7" t="n">
        <f aca="false">IF(I109="","",IF(I109=H109,15,MIN(15,-LOG10(ABS(I109-H109)/ABS(H109)))))</f>
        <v>11.2936861623923</v>
      </c>
    </row>
    <row r="110" customFormat="false" ht="15" hidden="false" customHeight="true" outlineLevel="0" collapsed="false">
      <c r="A110" s="6" t="s">
        <v>64</v>
      </c>
      <c r="B110" s="6" t="s">
        <v>55</v>
      </c>
      <c r="C110" s="6" t="n">
        <v>1</v>
      </c>
      <c r="D110" s="6" t="s">
        <v>57</v>
      </c>
      <c r="E110" s="12" t="n">
        <v>23.300500029</v>
      </c>
      <c r="F110" s="12" t="n">
        <v>23.3005000287525</v>
      </c>
      <c r="G110" s="7" t="n">
        <f aca="false">IF(F110="","",IF(F110=E110,15,MIN(15,-LOG10(ABS(F110-E110)/ABS(E110)))))</f>
        <v>10.9737903915148</v>
      </c>
      <c r="H110" s="12" t="n">
        <v>0.36584783023</v>
      </c>
      <c r="I110" s="12" t="n">
        <v>0.365847830229775</v>
      </c>
      <c r="J110" s="7" t="n">
        <f aca="false">IF(I110="","",IF(I110=H110,15,MIN(15,-LOG10(ABS(I110-H110)/ABS(H110)))))</f>
        <v>12.211143645777</v>
      </c>
    </row>
    <row r="111" customFormat="false" ht="15" hidden="false" customHeight="true" outlineLevel="0" collapsed="false">
      <c r="A111" s="6" t="s">
        <v>64</v>
      </c>
      <c r="B111" s="6" t="s">
        <v>55</v>
      </c>
      <c r="C111" s="6" t="n">
        <v>1</v>
      </c>
      <c r="D111" s="6" t="s">
        <v>58</v>
      </c>
      <c r="E111" s="12" t="n">
        <v>73.705031418</v>
      </c>
      <c r="F111" s="12" t="n">
        <v>73.7050314187432</v>
      </c>
      <c r="G111" s="7" t="n">
        <f aca="false">IF(F111="","",IF(F111=E111,15,MIN(15,-LOG10(ABS(F111-E111)/ABS(E111)))))</f>
        <v>10.996391855467</v>
      </c>
      <c r="H111" s="12" t="n">
        <v>1.2091239082</v>
      </c>
      <c r="I111" s="12" t="n">
        <v>1.20912390819527</v>
      </c>
      <c r="J111" s="7" t="n">
        <f aca="false">IF(I111="","",IF(I111=H111,15,MIN(15,-LOG10(ABS(I111-H111)/ABS(H111)))))</f>
        <v>11.4076102028057</v>
      </c>
    </row>
    <row r="112" customFormat="false" ht="15" hidden="false" customHeight="true" outlineLevel="0" collapsed="false">
      <c r="A112" s="6" t="s">
        <v>64</v>
      </c>
      <c r="B112" s="6" t="s">
        <v>55</v>
      </c>
      <c r="C112" s="6" t="n">
        <v>1</v>
      </c>
      <c r="D112" s="6" t="s">
        <v>59</v>
      </c>
      <c r="E112" s="12" t="n">
        <v>147.76164251</v>
      </c>
      <c r="F112" s="12" t="n">
        <v>147.761642504711</v>
      </c>
      <c r="G112" s="7" t="n">
        <f aca="false">IF(F112="","",IF(F112=E112,15,MIN(15,-LOG10(ABS(F112-E112)/ABS(E112)))))</f>
        <v>10.4461884790463</v>
      </c>
      <c r="H112" s="12" t="n">
        <v>0.40488183351</v>
      </c>
      <c r="I112" s="12" t="n">
        <v>0.404881833514359</v>
      </c>
      <c r="J112" s="7" t="n">
        <f aca="false">IF(I112="","",IF(I112=H112,15,MIN(15,-LOG10(ABS(I112-H112)/ABS(H112)))))</f>
        <v>10.967940111795</v>
      </c>
    </row>
    <row r="113" customFormat="false" ht="15" hidden="false" customHeight="true" outlineLevel="0" collapsed="false">
      <c r="A113" s="6" t="s">
        <v>64</v>
      </c>
      <c r="B113" s="6" t="s">
        <v>55</v>
      </c>
      <c r="C113" s="6" t="n">
        <v>1</v>
      </c>
      <c r="D113" s="6" t="s">
        <v>60</v>
      </c>
      <c r="E113" s="12" t="n">
        <v>19.66822123</v>
      </c>
      <c r="F113" s="12" t="n">
        <v>19.6682212298641</v>
      </c>
      <c r="G113" s="7" t="n">
        <f aca="false">IF(F113="","",IF(F113=E113,15,MIN(15,-LOG10(ABS(F113-E113)/ABS(E113)))))</f>
        <v>11.1605393760356</v>
      </c>
      <c r="H113" s="12" t="n">
        <v>0.37806634336</v>
      </c>
      <c r="I113" s="12" t="n">
        <v>0.378066343364794</v>
      </c>
      <c r="J113" s="7" t="n">
        <f aca="false">IF(I113="","",IF(I113=H113,15,MIN(15,-LOG10(ABS(I113-H113)/ABS(H113)))))</f>
        <v>10.8968701201771</v>
      </c>
    </row>
    <row r="114" customFormat="false" ht="15" hidden="false" customHeight="true" outlineLevel="0" collapsed="false">
      <c r="A114" s="6" t="s">
        <v>64</v>
      </c>
      <c r="B114" s="6" t="s">
        <v>55</v>
      </c>
      <c r="C114" s="6" t="n">
        <v>1</v>
      </c>
      <c r="D114" s="6" t="s">
        <v>47</v>
      </c>
      <c r="E114" s="12" t="n">
        <v>1244.484636</v>
      </c>
      <c r="F114" s="12" t="n">
        <v>1244.48463601316</v>
      </c>
      <c r="G114" s="7" t="n">
        <f aca="false">IF(F114="","",IF(F114=E114,15,MIN(15,-LOG10(ABS(F114-E114)/ABS(E114)))))</f>
        <v>10.9757283381853</v>
      </c>
      <c r="H114" s="12"/>
      <c r="I114" s="12"/>
      <c r="J114" s="7"/>
    </row>
    <row r="115" customFormat="false" ht="15" hidden="false" customHeight="true" outlineLevel="0" collapsed="false">
      <c r="A115" s="6" t="s">
        <v>64</v>
      </c>
      <c r="B115" s="6" t="s">
        <v>55</v>
      </c>
      <c r="C115" s="6" t="n">
        <v>2</v>
      </c>
      <c r="D115" s="6" t="s">
        <v>44</v>
      </c>
      <c r="E115" s="12" t="n">
        <v>98.94036897</v>
      </c>
      <c r="F115" s="12" t="n">
        <v>98.9403689700392</v>
      </c>
      <c r="G115" s="7" t="n">
        <f aca="false">IF(F115="","",IF(F115=E115,15,MIN(15,-LOG10(ABS(F115-E115)/ABS(E115)))))</f>
        <v>12.402001625673</v>
      </c>
      <c r="H115" s="12" t="n">
        <v>0.53005192833</v>
      </c>
      <c r="I115" s="12" t="n">
        <v>0.530051929696514</v>
      </c>
      <c r="J115" s="7" t="n">
        <f aca="false">IF(I115="","",IF(I115=H115,15,MIN(15,-LOG10(ABS(I115-H115)/ABS(H115)))))</f>
        <v>8.58870432924447</v>
      </c>
    </row>
    <row r="116" customFormat="false" ht="15" hidden="false" customHeight="true" outlineLevel="0" collapsed="false">
      <c r="A116" s="6" t="s">
        <v>64</v>
      </c>
      <c r="B116" s="6" t="s">
        <v>55</v>
      </c>
      <c r="C116" s="6" t="n">
        <v>2</v>
      </c>
      <c r="D116" s="6" t="s">
        <v>45</v>
      </c>
      <c r="E116" s="12" t="n">
        <v>0.010945879335</v>
      </c>
      <c r="F116" s="12" t="n">
        <v>0.0109458793355968</v>
      </c>
      <c r="G116" s="7" t="n">
        <f aca="false">IF(F116="","",IF(F116=E116,15,MIN(15,-LOG10(ABS(F116-E116)/ABS(E116)))))</f>
        <v>10.2634215602603</v>
      </c>
      <c r="H116" s="12" t="n">
        <v>0.00012554058911</v>
      </c>
      <c r="I116" s="12" t="n">
        <v>0.000125540590302048</v>
      </c>
      <c r="J116" s="7" t="n">
        <f aca="false">IF(I116="","",IF(I116=H116,15,MIN(15,-LOG10(ABS(I116-H116)/ABS(H116)))))</f>
        <v>8.02249041648476</v>
      </c>
    </row>
    <row r="117" customFormat="false" ht="15" hidden="false" customHeight="true" outlineLevel="0" collapsed="false">
      <c r="A117" s="6" t="s">
        <v>64</v>
      </c>
      <c r="B117" s="6" t="s">
        <v>55</v>
      </c>
      <c r="C117" s="6" t="n">
        <v>2</v>
      </c>
      <c r="D117" s="6" t="s">
        <v>46</v>
      </c>
      <c r="E117" s="12" t="n">
        <v>100.69553078</v>
      </c>
      <c r="F117" s="12" t="n">
        <v>100.695530781895</v>
      </c>
      <c r="G117" s="7" t="n">
        <f aca="false">IF(F117="","",IF(F117=E117,15,MIN(15,-LOG10(ABS(F117-E117)/ABS(E117)))))</f>
        <v>10.7254002328036</v>
      </c>
      <c r="H117" s="12" t="n">
        <v>0.81256587317</v>
      </c>
      <c r="I117" s="12" t="n">
        <v>0.81256585683894</v>
      </c>
      <c r="J117" s="7" t="n">
        <f aca="false">IF(I117="","",IF(I117=H117,15,MIN(15,-LOG10(ABS(I117-H117)/ABS(H117)))))</f>
        <v>7.69684420546675</v>
      </c>
    </row>
    <row r="118" customFormat="false" ht="15" hidden="false" customHeight="true" outlineLevel="0" collapsed="false">
      <c r="A118" s="6" t="s">
        <v>64</v>
      </c>
      <c r="B118" s="6" t="s">
        <v>55</v>
      </c>
      <c r="C118" s="6" t="n">
        <v>2</v>
      </c>
      <c r="D118" s="6" t="s">
        <v>56</v>
      </c>
      <c r="E118" s="12" t="n">
        <v>111.63619459</v>
      </c>
      <c r="F118" s="12" t="n">
        <v>111.63619459158</v>
      </c>
      <c r="G118" s="7" t="n">
        <f aca="false">IF(F118="","",IF(F118=E118,15,MIN(15,-LOG10(ABS(F118-E118)/ABS(E118)))))</f>
        <v>10.849150342466</v>
      </c>
      <c r="H118" s="12" t="n">
        <v>0.35317859757</v>
      </c>
      <c r="I118" s="12" t="n">
        <v>0.353178601259318</v>
      </c>
      <c r="J118" s="7" t="n">
        <f aca="false">IF(I118="","",IF(I118=H118,15,MIN(15,-LOG10(ABS(I118-H118)/ABS(H118)))))</f>
        <v>7.98104828484192</v>
      </c>
    </row>
    <row r="119" customFormat="false" ht="15" hidden="false" customHeight="true" outlineLevel="0" collapsed="false">
      <c r="A119" s="6" t="s">
        <v>64</v>
      </c>
      <c r="B119" s="6" t="s">
        <v>55</v>
      </c>
      <c r="C119" s="6" t="n">
        <v>2</v>
      </c>
      <c r="D119" s="6" t="s">
        <v>57</v>
      </c>
      <c r="E119" s="12" t="n">
        <v>23.300500029</v>
      </c>
      <c r="F119" s="12" t="n">
        <v>23.3005000362241</v>
      </c>
      <c r="G119" s="7" t="n">
        <f aca="false">IF(F119="","",IF(F119=E119,15,MIN(15,-LOG10(ABS(F119-E119)/ABS(E119)))))</f>
        <v>9.50858135941975</v>
      </c>
      <c r="H119" s="12" t="n">
        <v>0.36584783023</v>
      </c>
      <c r="I119" s="12" t="n">
        <v>0.365847836443407</v>
      </c>
      <c r="J119" s="7" t="n">
        <f aca="false">IF(I119="","",IF(I119=H119,15,MIN(15,-LOG10(ABS(I119-H119)/ABS(H119)))))</f>
        <v>7.76997068052609</v>
      </c>
    </row>
    <row r="120" customFormat="false" ht="15" hidden="false" customHeight="true" outlineLevel="0" collapsed="false">
      <c r="A120" s="6" t="s">
        <v>64</v>
      </c>
      <c r="B120" s="6" t="s">
        <v>55</v>
      </c>
      <c r="C120" s="6" t="n">
        <v>2</v>
      </c>
      <c r="D120" s="6" t="s">
        <v>58</v>
      </c>
      <c r="E120" s="12" t="n">
        <v>73.705031418</v>
      </c>
      <c r="F120" s="12" t="n">
        <v>73.7050313998443</v>
      </c>
      <c r="G120" s="7" t="n">
        <f aca="false">IF(F120="","",IF(F120=E120,15,MIN(15,-LOG10(ABS(F120-E120)/ABS(E120)))))</f>
        <v>9.60848407265111</v>
      </c>
      <c r="H120" s="12" t="n">
        <v>1.2091239082</v>
      </c>
      <c r="I120" s="12" t="n">
        <v>1.20912394890511</v>
      </c>
      <c r="J120" s="7" t="n">
        <f aca="false">IF(I120="","",IF(I120=H120,15,MIN(15,-LOG10(ABS(I120-H120)/ABS(H120)))))</f>
        <v>7.47282187646612</v>
      </c>
    </row>
    <row r="121" customFormat="false" ht="15" hidden="false" customHeight="true" outlineLevel="0" collapsed="false">
      <c r="A121" s="6" t="s">
        <v>64</v>
      </c>
      <c r="B121" s="6" t="s">
        <v>55</v>
      </c>
      <c r="C121" s="6" t="n">
        <v>2</v>
      </c>
      <c r="D121" s="6" t="s">
        <v>59</v>
      </c>
      <c r="E121" s="12" t="n">
        <v>147.76164251</v>
      </c>
      <c r="F121" s="12" t="n">
        <v>147.761642510654</v>
      </c>
      <c r="G121" s="7" t="n">
        <f aca="false">IF(F121="","",IF(F121=E121,15,MIN(15,-LOG10(ABS(F121-E121)/ABS(E121)))))</f>
        <v>11.3539760225097</v>
      </c>
      <c r="H121" s="12" t="n">
        <v>0.40488183351</v>
      </c>
      <c r="I121" s="12" t="n">
        <v>0.404881832136149</v>
      </c>
      <c r="J121" s="7" t="n">
        <f aca="false">IF(I121="","",IF(I121=H121,15,MIN(15,-LOG10(ABS(I121-H121)/ABS(H121)))))</f>
        <v>8.46938864640971</v>
      </c>
    </row>
    <row r="122" customFormat="false" ht="15" hidden="false" customHeight="true" outlineLevel="0" collapsed="false">
      <c r="A122" s="6" t="s">
        <v>64</v>
      </c>
      <c r="B122" s="6" t="s">
        <v>55</v>
      </c>
      <c r="C122" s="6" t="n">
        <v>2</v>
      </c>
      <c r="D122" s="6" t="s">
        <v>60</v>
      </c>
      <c r="E122" s="12" t="n">
        <v>19.66822123</v>
      </c>
      <c r="F122" s="12" t="n">
        <v>19.6682212263933</v>
      </c>
      <c r="G122" s="7" t="n">
        <f aca="false">IF(F122="","",IF(F122=E122,15,MIN(15,-LOG10(ABS(F122-E122)/ABS(E122)))))</f>
        <v>9.73665497858672</v>
      </c>
      <c r="H122" s="12" t="n">
        <v>0.37806634336</v>
      </c>
      <c r="I122" s="12" t="n">
        <v>0.378066340742706</v>
      </c>
      <c r="J122" s="7" t="n">
        <f aca="false">IF(I122="","",IF(I122=H122,15,MIN(15,-LOG10(ABS(I122-H122)/ABS(H122)))))</f>
        <v>8.15971550848626</v>
      </c>
    </row>
    <row r="123" customFormat="false" ht="15" hidden="false" customHeight="true" outlineLevel="0" collapsed="false">
      <c r="A123" s="6" t="s">
        <v>64</v>
      </c>
      <c r="B123" s="6" t="s">
        <v>55</v>
      </c>
      <c r="C123" s="6" t="n">
        <v>2</v>
      </c>
      <c r="D123" s="6" t="s">
        <v>47</v>
      </c>
      <c r="E123" s="12" t="n">
        <v>1244.484636</v>
      </c>
      <c r="F123" s="12" t="n">
        <v>1244.48463601316</v>
      </c>
      <c r="G123" s="7" t="n">
        <f aca="false">IF(F123="","",IF(F123=E123,15,MIN(15,-LOG10(ABS(F123-E123)/ABS(E123)))))</f>
        <v>10.9757283381853</v>
      </c>
      <c r="H123" s="12"/>
      <c r="I123" s="12"/>
      <c r="J123" s="7"/>
    </row>
    <row r="124" customFormat="false" ht="15" hidden="false" customHeight="true" outlineLevel="0" collapsed="false">
      <c r="A124" s="6" t="s">
        <v>65</v>
      </c>
      <c r="B124" s="6" t="s">
        <v>55</v>
      </c>
      <c r="C124" s="6" t="n">
        <v>1</v>
      </c>
      <c r="D124" s="6" t="s">
        <v>44</v>
      </c>
      <c r="E124" s="12" t="n">
        <v>1.0776351733</v>
      </c>
      <c r="F124" s="12" t="n">
        <v>1.07763515218032</v>
      </c>
      <c r="G124" s="7" t="n">
        <f aca="false">IF(F124="","",IF(F124=E124,15,MIN(15,-LOG10(ABS(F124-E124)/ABS(E124)))))</f>
        <v>7.70778442433908</v>
      </c>
      <c r="H124" s="12" t="n">
        <v>0.17070154742</v>
      </c>
      <c r="I124" s="12" t="n">
        <v>0.170701537227503</v>
      </c>
      <c r="J124" s="7" t="n">
        <f aca="false">IF(I124="","",IF(I124=H124,15,MIN(15,-LOG10(ABS(I124-H124)/ABS(H124)))))</f>
        <v>7.22395686636828</v>
      </c>
    </row>
    <row r="125" customFormat="false" ht="15" hidden="false" customHeight="true" outlineLevel="0" collapsed="false">
      <c r="A125" s="6" t="s">
        <v>65</v>
      </c>
      <c r="B125" s="6" t="s">
        <v>55</v>
      </c>
      <c r="C125" s="6" t="n">
        <v>1</v>
      </c>
      <c r="D125" s="6" t="s">
        <v>45</v>
      </c>
      <c r="E125" s="12" t="n">
        <v>-0.12269296921</v>
      </c>
      <c r="F125" s="12" t="n">
        <v>-0.122692967569855</v>
      </c>
      <c r="G125" s="7" t="n">
        <f aca="false">IF(F125="","",IF(F125=E125,15,MIN(15,-LOG10(ABS(F125-E125)/ABS(E125)))))</f>
        <v>7.87393743075112</v>
      </c>
      <c r="H125" s="12" t="n">
        <v>0.012000289189</v>
      </c>
      <c r="I125" s="12" t="n">
        <v>0.0120002883294474</v>
      </c>
      <c r="J125" s="7" t="n">
        <f aca="false">IF(I125="","",IF(I125=H125,15,MIN(15,-LOG10(ABS(I125-H125)/ABS(H125)))))</f>
        <v>7.14491925320519</v>
      </c>
    </row>
    <row r="126" customFormat="false" ht="15" hidden="false" customHeight="true" outlineLevel="0" collapsed="false">
      <c r="A126" s="6" t="s">
        <v>65</v>
      </c>
      <c r="B126" s="6" t="s">
        <v>55</v>
      </c>
      <c r="C126" s="6" t="n">
        <v>1</v>
      </c>
      <c r="D126" s="6" t="s">
        <v>46</v>
      </c>
      <c r="E126" s="12" t="n">
        <v>0.004086375061</v>
      </c>
      <c r="F126" s="12" t="n">
        <v>0.00408637502802331</v>
      </c>
      <c r="G126" s="7" t="n">
        <f aca="false">IF(F126="","",IF(F126=E126,15,MIN(15,-LOG10(ABS(F126-E126)/ABS(E126)))))</f>
        <v>8.09313116404716</v>
      </c>
      <c r="H126" s="12" t="n">
        <v>0.00022508314937</v>
      </c>
      <c r="I126" s="12" t="n">
        <v>0.00022508313240365</v>
      </c>
      <c r="J126" s="7" t="n">
        <f aca="false">IF(I126="","",IF(I126=H126,15,MIN(15,-LOG10(ABS(I126-H126)/ABS(H126)))))</f>
        <v>7.12275456108004</v>
      </c>
    </row>
    <row r="127" customFormat="false" ht="15" hidden="false" customHeight="true" outlineLevel="0" collapsed="false">
      <c r="A127" s="6" t="s">
        <v>65</v>
      </c>
      <c r="B127" s="6" t="s">
        <v>55</v>
      </c>
      <c r="C127" s="6" t="n">
        <v>1</v>
      </c>
      <c r="D127" s="6" t="s">
        <v>56</v>
      </c>
      <c r="E127" s="12" t="n">
        <v>-1.4262662514E-006</v>
      </c>
      <c r="F127" s="12" t="n">
        <v>-1.42626620283138E-006</v>
      </c>
      <c r="G127" s="7" t="n">
        <f aca="false">IF(F127="","",IF(F127=E127,15,MIN(15,-LOG10(ABS(F127-E127)/ABS(E127)))))</f>
        <v>7.46784484249506</v>
      </c>
      <c r="H127" s="12" t="n">
        <v>2.7578037666E-007</v>
      </c>
      <c r="I127" s="12" t="n">
        <v>2.75780385899902E-007</v>
      </c>
      <c r="J127" s="7" t="n">
        <f aca="false">IF(I127="","",IF(I127=H127,15,MIN(15,-LOG10(ABS(I127-H127)/ABS(H127)))))</f>
        <v>7.47489599547587</v>
      </c>
    </row>
    <row r="128" customFormat="false" ht="15" hidden="false" customHeight="true" outlineLevel="0" collapsed="false">
      <c r="A128" s="6" t="s">
        <v>65</v>
      </c>
      <c r="B128" s="6" t="s">
        <v>55</v>
      </c>
      <c r="C128" s="6" t="n">
        <v>1</v>
      </c>
      <c r="D128" s="6" t="s">
        <v>57</v>
      </c>
      <c r="E128" s="12" t="n">
        <v>-0.0057609940901</v>
      </c>
      <c r="F128" s="12" t="n">
        <v>-0.00576099410417873</v>
      </c>
      <c r="G128" s="7" t="n">
        <f aca="false">IF(F128="","",IF(F128=E128,15,MIN(15,-LOG10(ABS(F128-E128)/ABS(E128)))))</f>
        <v>8.61193393815315</v>
      </c>
      <c r="H128" s="12" t="n">
        <v>0.00024712888219</v>
      </c>
      <c r="I128" s="12" t="n">
        <v>0.000247128881912164</v>
      </c>
      <c r="J128" s="7" t="n">
        <f aca="false">IF(I128="","",IF(I128=H128,15,MIN(15,-LOG10(ABS(I128-H128)/ABS(H128)))))</f>
        <v>8.9491350366596</v>
      </c>
    </row>
    <row r="129" customFormat="false" ht="15" hidden="false" customHeight="true" outlineLevel="0" collapsed="false">
      <c r="A129" s="6" t="s">
        <v>65</v>
      </c>
      <c r="B129" s="6" t="s">
        <v>55</v>
      </c>
      <c r="C129" s="6" t="n">
        <v>1</v>
      </c>
      <c r="D129" s="6" t="s">
        <v>58</v>
      </c>
      <c r="E129" s="12" t="n">
        <v>0.00024053735503</v>
      </c>
      <c r="F129" s="12" t="n">
        <v>0.000240537353612588</v>
      </c>
      <c r="G129" s="7" t="n">
        <f aca="false">IF(F129="","",IF(F129=E129,15,MIN(15,-LOG10(ABS(F129-E129)/ABS(E129)))))</f>
        <v>8.22968642440537</v>
      </c>
      <c r="H129" s="12" t="n">
        <v>1.0449373768E-005</v>
      </c>
      <c r="I129" s="12" t="n">
        <v>1.0449372963949E-005</v>
      </c>
      <c r="J129" s="7" t="n">
        <f aca="false">IF(I129="","",IF(I129=H129,15,MIN(15,-LOG10(ABS(I129-H129)/ABS(H129)))))</f>
        <v>7.11380666715799</v>
      </c>
    </row>
    <row r="130" customFormat="false" ht="15" hidden="false" customHeight="true" outlineLevel="0" collapsed="false">
      <c r="A130" s="6" t="s">
        <v>65</v>
      </c>
      <c r="B130" s="6" t="s">
        <v>55</v>
      </c>
      <c r="C130" s="6" t="n">
        <v>1</v>
      </c>
      <c r="D130" s="6" t="s">
        <v>59</v>
      </c>
      <c r="E130" s="12" t="n">
        <v>-1.2314450199E-007</v>
      </c>
      <c r="F130" s="12" t="n">
        <v>-1.23144499712019E-007</v>
      </c>
      <c r="G130" s="7" t="n">
        <f aca="false">IF(F130="","",IF(F130=E130,15,MIN(15,-LOG10(ABS(F130-E130)/ABS(E130)))))</f>
        <v>7.73286492923184</v>
      </c>
      <c r="H130" s="12" t="n">
        <v>1.3027335327E-008</v>
      </c>
      <c r="I130" s="12" t="n">
        <v>1.30273355175297E-008</v>
      </c>
      <c r="J130" s="7" t="n">
        <f aca="false">IF(I130="","",IF(I130=H130,15,MIN(15,-LOG10(ABS(I130-H130)/ABS(H130)))))</f>
        <v>7.83489290800165</v>
      </c>
    </row>
    <row r="131" customFormat="false" ht="15" hidden="false" customHeight="true" outlineLevel="0" collapsed="false">
      <c r="A131" s="6" t="s">
        <v>65</v>
      </c>
      <c r="B131" s="6" t="s">
        <v>55</v>
      </c>
      <c r="C131" s="6" t="n">
        <v>1</v>
      </c>
      <c r="D131" s="6" t="s">
        <v>47</v>
      </c>
      <c r="E131" s="12" t="n">
        <v>1.5324382854</v>
      </c>
      <c r="F131" s="12" t="n">
        <v>1.53243828536063</v>
      </c>
      <c r="G131" s="7" t="n">
        <f aca="false">IF(F131="","",IF(F131=E131,15,MIN(15,-LOG10(ABS(F131-E131)/ABS(E131)))))</f>
        <v>10.590216886404</v>
      </c>
      <c r="H131" s="12"/>
      <c r="I131" s="12"/>
      <c r="J131" s="7"/>
    </row>
    <row r="132" customFormat="false" ht="15" hidden="false" customHeight="true" outlineLevel="0" collapsed="false">
      <c r="A132" s="6" t="s">
        <v>65</v>
      </c>
      <c r="B132" s="6" t="s">
        <v>55</v>
      </c>
      <c r="C132" s="6" t="n">
        <v>2</v>
      </c>
      <c r="D132" s="6" t="s">
        <v>44</v>
      </c>
      <c r="E132" s="12" t="n">
        <v>1.0776351733</v>
      </c>
      <c r="F132" s="12" t="n">
        <v>1.07763517331289</v>
      </c>
      <c r="G132" s="7" t="n">
        <f aca="false">IF(F132="","",IF(F132=E132,15,MIN(15,-LOG10(ABS(F132-E132)/ABS(E132)))))</f>
        <v>10.9222218271616</v>
      </c>
      <c r="H132" s="12" t="n">
        <v>0.17070154742</v>
      </c>
      <c r="I132" s="12" t="n">
        <v>0.170701547420411</v>
      </c>
      <c r="J132" s="7" t="n">
        <f aca="false">IF(I132="","",IF(I132=H132,15,MIN(15,-LOG10(ABS(I132-H132)/ABS(H132)))))</f>
        <v>11.6183908138128</v>
      </c>
    </row>
    <row r="133" customFormat="false" ht="15" hidden="false" customHeight="true" outlineLevel="0" collapsed="false">
      <c r="A133" s="6" t="s">
        <v>65</v>
      </c>
      <c r="B133" s="6" t="s">
        <v>55</v>
      </c>
      <c r="C133" s="6" t="n">
        <v>2</v>
      </c>
      <c r="D133" s="6" t="s">
        <v>45</v>
      </c>
      <c r="E133" s="12" t="n">
        <v>-0.12269296921</v>
      </c>
      <c r="F133" s="12" t="n">
        <v>-0.122692969210431</v>
      </c>
      <c r="G133" s="7" t="n">
        <f aca="false">IF(F133="","",IF(F133=E133,15,MIN(15,-LOG10(ABS(F133-E133)/ABS(E133)))))</f>
        <v>11.4543399317833</v>
      </c>
      <c r="H133" s="12" t="n">
        <v>0.012000289189</v>
      </c>
      <c r="I133" s="12" t="n">
        <v>0.0120002891893431</v>
      </c>
      <c r="J133" s="7" t="n">
        <f aca="false">IF(I133="","",IF(I133=H133,15,MIN(15,-LOG10(ABS(I133-H133)/ABS(H133)))))</f>
        <v>10.5437724961509</v>
      </c>
    </row>
    <row r="134" customFormat="false" ht="15" hidden="false" customHeight="true" outlineLevel="0" collapsed="false">
      <c r="A134" s="6" t="s">
        <v>65</v>
      </c>
      <c r="B134" s="6" t="s">
        <v>55</v>
      </c>
      <c r="C134" s="6" t="n">
        <v>2</v>
      </c>
      <c r="D134" s="6" t="s">
        <v>46</v>
      </c>
      <c r="E134" s="12" t="n">
        <v>0.004086375061</v>
      </c>
      <c r="F134" s="12" t="n">
        <v>0.00408637506105107</v>
      </c>
      <c r="G134" s="7" t="n">
        <f aca="false">IF(F134="","",IF(F134=E134,15,MIN(15,-LOG10(ABS(F134-E134)/ABS(E134)))))</f>
        <v>10.9031701636172</v>
      </c>
      <c r="H134" s="12" t="n">
        <v>0.00022508314937</v>
      </c>
      <c r="I134" s="12" t="n">
        <v>0.000225083149365705</v>
      </c>
      <c r="J134" s="7" t="n">
        <f aca="false">IF(I134="","",IF(I134=H134,15,MIN(15,-LOG10(ABS(I134-H134)/ABS(H134)))))</f>
        <v>10.7193785312282</v>
      </c>
    </row>
    <row r="135" customFormat="false" ht="15" hidden="false" customHeight="true" outlineLevel="0" collapsed="false">
      <c r="A135" s="6" t="s">
        <v>65</v>
      </c>
      <c r="B135" s="6" t="s">
        <v>55</v>
      </c>
      <c r="C135" s="6" t="n">
        <v>2</v>
      </c>
      <c r="D135" s="6" t="s">
        <v>56</v>
      </c>
      <c r="E135" s="12" t="n">
        <v>-1.4262662514E-006</v>
      </c>
      <c r="F135" s="12" t="n">
        <v>-1.42626625141368E-006</v>
      </c>
      <c r="G135" s="7" t="n">
        <f aca="false">IF(F135="","",IF(F135=E135,15,MIN(15,-LOG10(ABS(F135-E135)/ABS(E135)))))</f>
        <v>11.0181143303349</v>
      </c>
      <c r="H135" s="12" t="n">
        <v>2.7578037666E-007</v>
      </c>
      <c r="I135" s="12" t="n">
        <v>2.75780376659916E-007</v>
      </c>
      <c r="J135" s="7" t="n">
        <f aca="false">IF(I135="","",IF(I135=H135,15,MIN(15,-LOG10(ABS(I135-H135)/ABS(H135)))))</f>
        <v>12.5162061128002</v>
      </c>
    </row>
    <row r="136" customFormat="false" ht="15" hidden="false" customHeight="true" outlineLevel="0" collapsed="false">
      <c r="A136" s="6" t="s">
        <v>65</v>
      </c>
      <c r="B136" s="6" t="s">
        <v>55</v>
      </c>
      <c r="C136" s="6" t="n">
        <v>2</v>
      </c>
      <c r="D136" s="6" t="s">
        <v>57</v>
      </c>
      <c r="E136" s="12" t="n">
        <v>-0.0057609940901</v>
      </c>
      <c r="F136" s="12" t="n">
        <v>-0.0057609940900914</v>
      </c>
      <c r="G136" s="7" t="n">
        <f aca="false">IF(F136="","",IF(F136=E136,15,MIN(15,-LOG10(ABS(F136-E136)/ABS(E136)))))</f>
        <v>11.8260044510045</v>
      </c>
      <c r="H136" s="12" t="n">
        <v>0.00024712888219</v>
      </c>
      <c r="I136" s="12" t="n">
        <v>0.000247128882189815</v>
      </c>
      <c r="J136" s="7" t="n">
        <f aca="false">IF(I136="","",IF(I136=H136,15,MIN(15,-LOG10(ABS(I136-H136)/ABS(H136)))))</f>
        <v>12.1258342047811</v>
      </c>
    </row>
    <row r="137" customFormat="false" ht="15" hidden="false" customHeight="true" outlineLevel="0" collapsed="false">
      <c r="A137" s="6" t="s">
        <v>65</v>
      </c>
      <c r="B137" s="6" t="s">
        <v>55</v>
      </c>
      <c r="C137" s="6" t="n">
        <v>2</v>
      </c>
      <c r="D137" s="6" t="s">
        <v>58</v>
      </c>
      <c r="E137" s="12" t="n">
        <v>0.00024053735503</v>
      </c>
      <c r="F137" s="12" t="n">
        <v>0.00024053735503196</v>
      </c>
      <c r="G137" s="7" t="n">
        <f aca="false">IF(F137="","",IF(F137=E137,15,MIN(15,-LOG10(ABS(F137-E137)/ABS(E137)))))</f>
        <v>11.0889278817778</v>
      </c>
      <c r="H137" s="12" t="n">
        <v>1.0449373768E-005</v>
      </c>
      <c r="I137" s="12" t="n">
        <v>1.0449373767603E-005</v>
      </c>
      <c r="J137" s="7" t="n">
        <f aca="false">IF(I137="","",IF(I137=H137,15,MIN(15,-LOG10(ABS(I137-H137)/ABS(H137)))))</f>
        <v>10.4202987132651</v>
      </c>
    </row>
    <row r="138" customFormat="false" ht="15" hidden="false" customHeight="true" outlineLevel="0" collapsed="false">
      <c r="A138" s="6" t="s">
        <v>65</v>
      </c>
      <c r="B138" s="6" t="s">
        <v>55</v>
      </c>
      <c r="C138" s="6" t="n">
        <v>2</v>
      </c>
      <c r="D138" s="6" t="s">
        <v>59</v>
      </c>
      <c r="E138" s="12" t="n">
        <v>-1.2314450199E-007</v>
      </c>
      <c r="F138" s="12" t="n">
        <v>-1.23144501992236E-007</v>
      </c>
      <c r="G138" s="7" t="n">
        <f aca="false">IF(F138="","",IF(F138=E138,15,MIN(15,-LOG10(ABS(F138-E138)/ABS(E138)))))</f>
        <v>10.7409467834166</v>
      </c>
      <c r="H138" s="12" t="n">
        <v>1.3027335327E-008</v>
      </c>
      <c r="I138" s="12" t="n">
        <v>1.30273353271001E-008</v>
      </c>
      <c r="J138" s="7" t="n">
        <f aca="false">IF(I138="","",IF(I138=H138,15,MIN(15,-LOG10(ABS(I138-H138)/ABS(H138)))))</f>
        <v>11.1144196289023</v>
      </c>
    </row>
    <row r="139" customFormat="false" ht="15" hidden="false" customHeight="true" outlineLevel="0" collapsed="false">
      <c r="A139" s="6" t="s">
        <v>65</v>
      </c>
      <c r="B139" s="6" t="s">
        <v>55</v>
      </c>
      <c r="C139" s="6" t="n">
        <v>2</v>
      </c>
      <c r="D139" s="6" t="s">
        <v>47</v>
      </c>
      <c r="E139" s="12" t="n">
        <v>1.5324382854</v>
      </c>
      <c r="F139" s="12" t="n">
        <v>1.53243828536062</v>
      </c>
      <c r="G139" s="7" t="n">
        <f aca="false">IF(F139="","",IF(F139=E139,15,MIN(15,-LOG10(ABS(F139-E139)/ABS(E139)))))</f>
        <v>10.5901066777146</v>
      </c>
      <c r="H139" s="12"/>
      <c r="I139" s="12"/>
      <c r="J139" s="7"/>
    </row>
    <row r="140" customFormat="false" ht="15" hidden="false" customHeight="true" outlineLevel="0" collapsed="false">
      <c r="A140" s="6" t="s">
        <v>66</v>
      </c>
      <c r="B140" s="6" t="s">
        <v>55</v>
      </c>
      <c r="C140" s="6" t="n">
        <v>1</v>
      </c>
      <c r="D140" s="6" t="s">
        <v>44</v>
      </c>
      <c r="E140" s="12" t="n">
        <v>1.6745063063</v>
      </c>
      <c r="F140" s="12" t="n">
        <v>1.67450636748463</v>
      </c>
      <c r="G140" s="7" t="n">
        <f aca="false">IF(F140="","",IF(F140=E140,15,MIN(15,-LOG10(ABS(F140-E140)/ABS(E140)))))</f>
        <v>7.43724444916897</v>
      </c>
      <c r="H140" s="12" t="n">
        <v>0.087989634338</v>
      </c>
      <c r="I140" s="12" t="n">
        <v>0.0879896284236124</v>
      </c>
      <c r="J140" s="7" t="n">
        <f aca="false">IF(I140="","",IF(I140=H140,15,MIN(15,-LOG10(ABS(I140-H140)/ABS(H140)))))</f>
        <v>7.17252172989026</v>
      </c>
    </row>
    <row r="141" customFormat="false" ht="15" hidden="false" customHeight="true" outlineLevel="0" collapsed="false">
      <c r="A141" s="6" t="s">
        <v>66</v>
      </c>
      <c r="B141" s="6" t="s">
        <v>55</v>
      </c>
      <c r="C141" s="6" t="n">
        <v>1</v>
      </c>
      <c r="D141" s="6" t="s">
        <v>45</v>
      </c>
      <c r="E141" s="12" t="n">
        <v>-0.13927397867</v>
      </c>
      <c r="F141" s="12" t="n">
        <v>-0.139273982259724</v>
      </c>
      <c r="G141" s="7" t="n">
        <f aca="false">IF(F141="","",IF(F141=E141,15,MIN(15,-LOG10(ABS(F141-E141)/ABS(E141)))))</f>
        <v>7.58880892153541</v>
      </c>
      <c r="H141" s="12" t="n">
        <v>0.0041182041386</v>
      </c>
      <c r="I141" s="12" t="n">
        <v>0.00411820362909618</v>
      </c>
      <c r="J141" s="7" t="n">
        <f aca="false">IF(I141="","",IF(I141=H141,15,MIN(15,-LOG10(ABS(I141-H141)/ABS(H141)))))</f>
        <v>6.90756042605813</v>
      </c>
    </row>
    <row r="142" customFormat="false" ht="15" hidden="false" customHeight="true" outlineLevel="0" collapsed="false">
      <c r="A142" s="6" t="s">
        <v>66</v>
      </c>
      <c r="B142" s="6" t="s">
        <v>55</v>
      </c>
      <c r="C142" s="6" t="n">
        <v>1</v>
      </c>
      <c r="D142" s="6" t="s">
        <v>46</v>
      </c>
      <c r="E142" s="12" t="n">
        <v>0.0025961181191</v>
      </c>
      <c r="F142" s="12" t="n">
        <v>0.00259611815727251</v>
      </c>
      <c r="G142" s="7" t="n">
        <f aca="false">IF(F142="","",IF(F142=E142,15,MIN(15,-LOG10(ABS(F142-E142)/ABS(E142)))))</f>
        <v>7.83257373233661</v>
      </c>
      <c r="H142" s="12" t="n">
        <v>4.1856520458E-005</v>
      </c>
      <c r="I142" s="12" t="n">
        <v>4.18565139368125E-005</v>
      </c>
      <c r="J142" s="7" t="n">
        <f aca="false">IF(I142="","",IF(I142=H142,15,MIN(15,-LOG10(ABS(I142-H142)/ABS(H142)))))</f>
        <v>6.80743643507427</v>
      </c>
    </row>
    <row r="143" customFormat="false" ht="15" hidden="false" customHeight="true" outlineLevel="0" collapsed="false">
      <c r="A143" s="6" t="s">
        <v>66</v>
      </c>
      <c r="B143" s="6" t="s">
        <v>55</v>
      </c>
      <c r="C143" s="6" t="n">
        <v>1</v>
      </c>
      <c r="D143" s="6" t="s">
        <v>56</v>
      </c>
      <c r="E143" s="12" t="n">
        <v>-0.001724181187</v>
      </c>
      <c r="F143" s="12" t="n">
        <v>-0.00172418113657571</v>
      </c>
      <c r="G143" s="7" t="n">
        <f aca="false">IF(F143="","",IF(F143=E143,15,MIN(15,-LOG10(ABS(F143-E143)/ABS(E143)))))</f>
        <v>7.53394310871502</v>
      </c>
      <c r="H143" s="12" t="n">
        <v>5.8931897355E-005</v>
      </c>
      <c r="I143" s="12" t="n">
        <v>5.89318858639529E-005</v>
      </c>
      <c r="J143" s="7" t="n">
        <f aca="false">IF(I143="","",IF(I143=H143,15,MIN(15,-LOG10(ABS(I143-H143)/ABS(H143)))))</f>
        <v>6.70999081897245</v>
      </c>
    </row>
    <row r="144" customFormat="false" ht="15" hidden="false" customHeight="true" outlineLevel="0" collapsed="false">
      <c r="A144" s="6" t="s">
        <v>66</v>
      </c>
      <c r="B144" s="6" t="s">
        <v>55</v>
      </c>
      <c r="C144" s="6" t="n">
        <v>1</v>
      </c>
      <c r="D144" s="6" t="s">
        <v>57</v>
      </c>
      <c r="E144" s="12" t="n">
        <v>2.1664802578E-005</v>
      </c>
      <c r="F144" s="12" t="n">
        <v>2.16648027509678E-005</v>
      </c>
      <c r="G144" s="7" t="n">
        <f aca="false">IF(F144="","",IF(F144=E144,15,MIN(15,-LOG10(ABS(F144-E144)/ABS(E144)))))</f>
        <v>8.09778948133731</v>
      </c>
      <c r="H144" s="12" t="n">
        <v>2.0129761919E-007</v>
      </c>
      <c r="I144" s="12" t="n">
        <v>2.01297594586401E-007</v>
      </c>
      <c r="J144" s="7" t="n">
        <f aca="false">IF(I144="","",IF(I144=H144,15,MIN(15,-LOG10(ABS(I144-H144)/ABS(H144)))))</f>
        <v>6.91283999838589</v>
      </c>
    </row>
    <row r="145" customFormat="false" ht="15" hidden="false" customHeight="true" outlineLevel="0" collapsed="false">
      <c r="A145" s="6" t="s">
        <v>66</v>
      </c>
      <c r="B145" s="6" t="s">
        <v>55</v>
      </c>
      <c r="C145" s="6" t="n">
        <v>1</v>
      </c>
      <c r="D145" s="6" t="s">
        <v>47</v>
      </c>
      <c r="E145" s="12" t="n">
        <v>3.9050739624</v>
      </c>
      <c r="F145" s="12" t="n">
        <v>3.9050739623909</v>
      </c>
      <c r="G145" s="7" t="n">
        <f aca="false">IF(F145="","",IF(F145=E145,15,MIN(15,-LOG10(ABS(F145-E145)/ABS(E145)))))</f>
        <v>11.6325958894051</v>
      </c>
      <c r="H145" s="12"/>
      <c r="I145" s="12"/>
      <c r="J145" s="7"/>
    </row>
    <row r="146" customFormat="false" ht="15" hidden="false" customHeight="true" outlineLevel="0" collapsed="false">
      <c r="A146" s="6" t="s">
        <v>66</v>
      </c>
      <c r="B146" s="6" t="s">
        <v>55</v>
      </c>
      <c r="C146" s="6" t="n">
        <v>2</v>
      </c>
      <c r="D146" s="6" t="s">
        <v>44</v>
      </c>
      <c r="E146" s="12" t="n">
        <v>1.6745063063</v>
      </c>
      <c r="F146" s="12" t="n">
        <v>1.67450632483785</v>
      </c>
      <c r="G146" s="7" t="n">
        <f aca="false">IF(F146="","",IF(F146=E146,15,MIN(15,-LOG10(ABS(F146-E146)/ABS(E146)))))</f>
        <v>7.95582742557272</v>
      </c>
      <c r="H146" s="12" t="n">
        <v>0.087989634338</v>
      </c>
      <c r="I146" s="12" t="n">
        <v>0.0879896325476547</v>
      </c>
      <c r="J146" s="7" t="n">
        <f aca="false">IF(I146="","",IF(I146=H146,15,MIN(15,-LOG10(ABS(I146-H146)/ABS(H146)))))</f>
        <v>7.69149471177728</v>
      </c>
    </row>
    <row r="147" customFormat="false" ht="15" hidden="false" customHeight="true" outlineLevel="0" collapsed="false">
      <c r="A147" s="6" t="s">
        <v>66</v>
      </c>
      <c r="B147" s="6" t="s">
        <v>55</v>
      </c>
      <c r="C147" s="6" t="n">
        <v>2</v>
      </c>
      <c r="D147" s="6" t="s">
        <v>45</v>
      </c>
      <c r="E147" s="12" t="n">
        <v>-0.13927397867</v>
      </c>
      <c r="F147" s="12" t="n">
        <v>-0.139273979760049</v>
      </c>
      <c r="G147" s="7" t="n">
        <f aca="false">IF(F147="","",IF(F147=E147,15,MIN(15,-LOG10(ABS(F147-E147)/ABS(E147)))))</f>
        <v>8.10642396331264</v>
      </c>
      <c r="H147" s="12" t="n">
        <v>0.0041182041386</v>
      </c>
      <c r="I147" s="12" t="n">
        <v>0.00411820398437352</v>
      </c>
      <c r="J147" s="7" t="n">
        <f aca="false">IF(I147="","",IF(I147=H147,15,MIN(15,-LOG10(ABS(I147-H147)/ABS(H147)))))</f>
        <v>7.42654892507295</v>
      </c>
    </row>
    <row r="148" customFormat="false" ht="15" hidden="false" customHeight="true" outlineLevel="0" collapsed="false">
      <c r="A148" s="6" t="s">
        <v>66</v>
      </c>
      <c r="B148" s="6" t="s">
        <v>55</v>
      </c>
      <c r="C148" s="6" t="n">
        <v>2</v>
      </c>
      <c r="D148" s="6" t="s">
        <v>46</v>
      </c>
      <c r="E148" s="12" t="n">
        <v>0.0025961181191</v>
      </c>
      <c r="F148" s="12" t="n">
        <v>0.00259611813065187</v>
      </c>
      <c r="G148" s="7" t="n">
        <f aca="false">IF(F148="","",IF(F148=E148,15,MIN(15,-LOG10(ABS(F148-E148)/ABS(E148)))))</f>
        <v>8.3516721502094</v>
      </c>
      <c r="H148" s="12" t="n">
        <v>4.1856520458E-005</v>
      </c>
      <c r="I148" s="12" t="n">
        <v>4.1856518484122E-005</v>
      </c>
      <c r="J148" s="7" t="n">
        <f aca="false">IF(I148="","",IF(I148=H148,15,MIN(15,-LOG10(ABS(I148-H148)/ABS(H148)))))</f>
        <v>7.32644281498596</v>
      </c>
    </row>
    <row r="149" customFormat="false" ht="15" hidden="false" customHeight="true" outlineLevel="0" collapsed="false">
      <c r="A149" s="6" t="s">
        <v>66</v>
      </c>
      <c r="B149" s="6" t="s">
        <v>55</v>
      </c>
      <c r="C149" s="6" t="n">
        <v>2</v>
      </c>
      <c r="D149" s="6" t="s">
        <v>56</v>
      </c>
      <c r="E149" s="12" t="n">
        <v>-0.001724181187</v>
      </c>
      <c r="F149" s="12" t="n">
        <v>-0.00172418117172197</v>
      </c>
      <c r="G149" s="7" t="n">
        <f aca="false">IF(F149="","",IF(F149=E149,15,MIN(15,-LOG10(ABS(F149-E149)/ABS(E149)))))</f>
        <v>8.05251553953778</v>
      </c>
      <c r="H149" s="12" t="n">
        <v>5.8931897355E-005</v>
      </c>
      <c r="I149" s="12" t="n">
        <v>5.89318938772456E-005</v>
      </c>
      <c r="J149" s="7" t="n">
        <f aca="false">IF(I149="","",IF(I149=H149,15,MIN(15,-LOG10(ABS(I149-H149)/ABS(H149)))))</f>
        <v>7.22905151494711</v>
      </c>
    </row>
    <row r="150" customFormat="false" ht="15" hidden="false" customHeight="true" outlineLevel="0" collapsed="false">
      <c r="A150" s="6" t="s">
        <v>66</v>
      </c>
      <c r="B150" s="6" t="s">
        <v>55</v>
      </c>
      <c r="C150" s="6" t="n">
        <v>2</v>
      </c>
      <c r="D150" s="6" t="s">
        <v>57</v>
      </c>
      <c r="E150" s="12" t="n">
        <v>2.1664802578E-005</v>
      </c>
      <c r="F150" s="12" t="n">
        <v>2.16648026301361E-005</v>
      </c>
      <c r="G150" s="7" t="n">
        <f aca="false">IF(F150="","",IF(F150=E150,15,MIN(15,-LOG10(ABS(F150-E150)/ABS(E150)))))</f>
        <v>8.6186162145946</v>
      </c>
      <c r="H150" s="12" t="n">
        <v>2.0129761919E-007</v>
      </c>
      <c r="I150" s="12" t="n">
        <v>2.0129761174442E-007</v>
      </c>
      <c r="J150" s="7" t="n">
        <f aca="false">IF(I150="","",IF(I150=H150,15,MIN(15,-LOG10(ABS(I150-H150)/ABS(H150)))))</f>
        <v>7.43194010483141</v>
      </c>
    </row>
    <row r="151" customFormat="false" ht="15" hidden="false" customHeight="true" outlineLevel="0" collapsed="false">
      <c r="A151" s="6" t="s">
        <v>66</v>
      </c>
      <c r="B151" s="6" t="s">
        <v>55</v>
      </c>
      <c r="C151" s="6" t="n">
        <v>2</v>
      </c>
      <c r="D151" s="6" t="s">
        <v>47</v>
      </c>
      <c r="E151" s="12" t="n">
        <v>3.9050739624</v>
      </c>
      <c r="F151" s="12" t="n">
        <v>3.90507396239089</v>
      </c>
      <c r="G151" s="7" t="n">
        <f aca="false">IF(F151="","",IF(F151=E151,15,MIN(15,-LOG10(ABS(F151-E151)/ABS(E151)))))</f>
        <v>11.6321086915448</v>
      </c>
      <c r="H151" s="12"/>
      <c r="I151" s="12"/>
      <c r="J151" s="7"/>
    </row>
    <row r="152" customFormat="false" ht="15" hidden="false" customHeight="true" outlineLevel="0" collapsed="false">
      <c r="A152" s="6" t="s">
        <v>67</v>
      </c>
      <c r="B152" s="6" t="s">
        <v>55</v>
      </c>
      <c r="C152" s="6" t="n">
        <v>1</v>
      </c>
      <c r="D152" s="6" t="s">
        <v>44</v>
      </c>
      <c r="E152" s="12" t="n">
        <v>0.095100000027</v>
      </c>
      <c r="F152" s="12" t="n">
        <v>0.0951000000274398</v>
      </c>
      <c r="G152" s="7" t="n">
        <f aca="false">IF(F152="","",IF(F152=E152,15,MIN(15,-LOG10(ABS(F152-E152)/ABS(E152)))))</f>
        <v>11.334924330805</v>
      </c>
      <c r="H152" s="12" t="n">
        <v>5.3347304234E-011</v>
      </c>
      <c r="I152" s="12" t="n">
        <v>5.32919842697999E-011</v>
      </c>
      <c r="J152" s="7" t="n">
        <f aca="false">IF(I152="","",IF(I152=H152,15,MIN(15,-LOG10(ABS(I152-H152)/ABS(H152)))))</f>
        <v>2.98423058799621</v>
      </c>
    </row>
    <row r="153" customFormat="false" ht="15" hidden="false" customHeight="true" outlineLevel="0" collapsed="false">
      <c r="A153" s="6" t="s">
        <v>67</v>
      </c>
      <c r="B153" s="6" t="s">
        <v>55</v>
      </c>
      <c r="C153" s="6" t="n">
        <v>1</v>
      </c>
      <c r="D153" s="6" t="s">
        <v>45</v>
      </c>
      <c r="E153" s="12" t="n">
        <v>1.0000000001</v>
      </c>
      <c r="F153" s="12" t="n">
        <v>1.00000000012776</v>
      </c>
      <c r="G153" s="7" t="n">
        <f aca="false">IF(F153="","",IF(F153=E153,15,MIN(15,-LOG10(ABS(F153-E153)/ABS(E153)))))</f>
        <v>10.5565802800037</v>
      </c>
      <c r="H153" s="12" t="n">
        <v>2.7473038179E-010</v>
      </c>
      <c r="I153" s="12" t="n">
        <v>2.74445492523791E-010</v>
      </c>
      <c r="J153" s="7" t="n">
        <f aca="false">IF(I153="","",IF(I153=H153,15,MIN(15,-LOG10(ABS(I153-H153)/ABS(H153)))))</f>
        <v>2.9842306030799</v>
      </c>
    </row>
    <row r="154" customFormat="false" ht="15" hidden="false" customHeight="true" outlineLevel="0" collapsed="false">
      <c r="A154" s="6" t="s">
        <v>67</v>
      </c>
      <c r="B154" s="6" t="s">
        <v>55</v>
      </c>
      <c r="C154" s="6" t="n">
        <v>1</v>
      </c>
      <c r="D154" s="6" t="s">
        <v>46</v>
      </c>
      <c r="E154" s="12" t="n">
        <v>0.86070000013</v>
      </c>
      <c r="F154" s="12" t="n">
        <v>0.860700000134488</v>
      </c>
      <c r="G154" s="7" t="n">
        <f aca="false">IF(F154="","",IF(F154=E154,15,MIN(15,-LOG10(ABS(F154-E154)/ABS(E154)))))</f>
        <v>11.2828022879921</v>
      </c>
      <c r="H154" s="12" t="n">
        <v>1.3576062225E-010</v>
      </c>
      <c r="I154" s="12" t="n">
        <v>1.35619841498869E-010</v>
      </c>
      <c r="J154" s="7" t="n">
        <f aca="false">IF(I154="","",IF(I154=H154,15,MIN(15,-LOG10(ABS(I154-H154)/ABS(H154)))))</f>
        <v>2.98423054183764</v>
      </c>
    </row>
    <row r="155" customFormat="false" ht="15" hidden="false" customHeight="true" outlineLevel="0" collapsed="false">
      <c r="A155" s="6" t="s">
        <v>67</v>
      </c>
      <c r="B155" s="6" t="s">
        <v>55</v>
      </c>
      <c r="C155" s="6" t="n">
        <v>1</v>
      </c>
      <c r="D155" s="6" t="s">
        <v>56</v>
      </c>
      <c r="E155" s="12" t="n">
        <v>3.0000000002</v>
      </c>
      <c r="F155" s="12" t="n">
        <v>3.00000000023468</v>
      </c>
      <c r="G155" s="7" t="n">
        <f aca="false">IF(F155="","",IF(F155=E155,15,MIN(15,-LOG10(ABS(F155-E155)/ABS(E155)))))</f>
        <v>10.9370444880034</v>
      </c>
      <c r="H155" s="12" t="n">
        <v>3.3308253069E-010</v>
      </c>
      <c r="I155" s="12" t="n">
        <v>3.32737131514725E-010</v>
      </c>
      <c r="J155" s="7" t="n">
        <f aca="false">IF(I155="","",IF(I155=H155,15,MIN(15,-LOG10(ABS(I155-H155)/ABS(H155)))))</f>
        <v>2.9842305594272</v>
      </c>
    </row>
    <row r="156" customFormat="false" ht="15" hidden="false" customHeight="true" outlineLevel="0" collapsed="false">
      <c r="A156" s="6" t="s">
        <v>67</v>
      </c>
      <c r="B156" s="6" t="s">
        <v>55</v>
      </c>
      <c r="C156" s="6" t="n">
        <v>1</v>
      </c>
      <c r="D156" s="6" t="s">
        <v>57</v>
      </c>
      <c r="E156" s="12" t="n">
        <v>1.5575999998</v>
      </c>
      <c r="F156" s="12" t="n">
        <v>1.55759999983813</v>
      </c>
      <c r="G156" s="7" t="n">
        <f aca="false">IF(F156="","",IF(F156=E156,15,MIN(15,-LOG10(ABS(F156-E156)/ABS(E156)))))</f>
        <v>10.6111897750352</v>
      </c>
      <c r="H156" s="12" t="n">
        <v>1.8815731448E-010</v>
      </c>
      <c r="I156" s="12" t="n">
        <v>1.87962199521421E-010</v>
      </c>
      <c r="J156" s="7" t="n">
        <f aca="false">IF(I156="","",IF(I156=H156,15,MIN(15,-LOG10(ABS(I156-H156)/ABS(H156)))))</f>
        <v>2.98423053980983</v>
      </c>
    </row>
    <row r="157" customFormat="false" ht="15" hidden="false" customHeight="true" outlineLevel="0" collapsed="false">
      <c r="A157" s="6" t="s">
        <v>67</v>
      </c>
      <c r="B157" s="6" t="s">
        <v>55</v>
      </c>
      <c r="C157" s="6" t="n">
        <v>1</v>
      </c>
      <c r="D157" s="6" t="s">
        <v>58</v>
      </c>
      <c r="E157" s="12" t="n">
        <v>5.0000000001</v>
      </c>
      <c r="F157" s="12" t="n">
        <v>5.00000000011158</v>
      </c>
      <c r="G157" s="7" t="n">
        <f aca="false">IF(F157="","",IF(F157=E157,15,MIN(15,-LOG10(ABS(F157-E157)/ABS(E157)))))</f>
        <v>11.6352588108396</v>
      </c>
      <c r="H157" s="12" t="n">
        <v>1.1057500538E-010</v>
      </c>
      <c r="I157" s="12" t="n">
        <v>1.10460341558335E-010</v>
      </c>
      <c r="J157" s="7" t="n">
        <f aca="false">IF(I157="","",IF(I157=H157,15,MIN(15,-LOG10(ABS(I157-H157)/ABS(H157)))))</f>
        <v>2.98423055676086</v>
      </c>
    </row>
    <row r="158" customFormat="false" ht="15" hidden="false" customHeight="true" outlineLevel="0" collapsed="false">
      <c r="A158" s="6" t="s">
        <v>67</v>
      </c>
      <c r="B158" s="6" t="s">
        <v>55</v>
      </c>
      <c r="C158" s="6" t="n">
        <v>1</v>
      </c>
      <c r="D158" s="6" t="s">
        <v>47</v>
      </c>
      <c r="E158" s="12" t="n">
        <v>1.4307867721E-025</v>
      </c>
      <c r="F158" s="12" t="n">
        <v>1.42782092867317E-025</v>
      </c>
      <c r="G158" s="7" t="n">
        <f aca="false">IF(F158="","",IF(F158=E158,15,MIN(15,-LOG10(ABS(F158-E158)/ABS(E158)))))</f>
        <v>2.68342669638918</v>
      </c>
      <c r="H158" s="12"/>
      <c r="I158" s="12"/>
      <c r="J158" s="7"/>
    </row>
    <row r="159" customFormat="false" ht="15" hidden="false" customHeight="true" outlineLevel="0" collapsed="false">
      <c r="A159" s="6" t="s">
        <v>67</v>
      </c>
      <c r="B159" s="6" t="s">
        <v>55</v>
      </c>
      <c r="C159" s="6" t="n">
        <v>2</v>
      </c>
      <c r="D159" s="6" t="s">
        <v>44</v>
      </c>
      <c r="E159" s="12" t="n">
        <v>0.095100000027</v>
      </c>
      <c r="F159" s="12" t="n">
        <v>0.0951000000273835</v>
      </c>
      <c r="G159" s="7" t="n">
        <f aca="false">IF(F159="","",IF(F159=E159,15,MIN(15,-LOG10(ABS(F159-E159)/ABS(E159)))))</f>
        <v>11.3944165209886</v>
      </c>
      <c r="H159" s="12" t="n">
        <v>5.3347304234E-011</v>
      </c>
      <c r="I159" s="12" t="n">
        <v>5.33175277347672E-011</v>
      </c>
      <c r="J159" s="7" t="n">
        <f aca="false">IF(I159="","",IF(I159=H159,15,MIN(15,-LOG10(ABS(I159-H159)/ABS(H159)))))</f>
        <v>3.25323884115391</v>
      </c>
    </row>
    <row r="160" customFormat="false" ht="15" hidden="false" customHeight="true" outlineLevel="0" collapsed="false">
      <c r="A160" s="6" t="s">
        <v>67</v>
      </c>
      <c r="B160" s="6" t="s">
        <v>55</v>
      </c>
      <c r="C160" s="6" t="n">
        <v>2</v>
      </c>
      <c r="D160" s="6" t="s">
        <v>45</v>
      </c>
      <c r="E160" s="12" t="n">
        <v>1.0000000001</v>
      </c>
      <c r="F160" s="12" t="n">
        <v>1.00000000012748</v>
      </c>
      <c r="G160" s="7" t="n">
        <f aca="false">IF(F160="","",IF(F160=E160,15,MIN(15,-LOG10(ABS(F160-E160)/ABS(E160)))))</f>
        <v>10.5609829830601</v>
      </c>
      <c r="H160" s="12" t="n">
        <v>2.7473038179E-010</v>
      </c>
      <c r="I160" s="12" t="n">
        <v>2.74577037419525E-010</v>
      </c>
      <c r="J160" s="7" t="n">
        <f aca="false">IF(I160="","",IF(I160=H160,15,MIN(15,-LOG10(ABS(I160-H160)/ABS(H160)))))</f>
        <v>3.25323885274299</v>
      </c>
    </row>
    <row r="161" customFormat="false" ht="15" hidden="false" customHeight="true" outlineLevel="0" collapsed="false">
      <c r="A161" s="6" t="s">
        <v>67</v>
      </c>
      <c r="B161" s="6" t="s">
        <v>55</v>
      </c>
      <c r="C161" s="6" t="n">
        <v>2</v>
      </c>
      <c r="D161" s="6" t="s">
        <v>46</v>
      </c>
      <c r="E161" s="12" t="n">
        <v>0.86070000013</v>
      </c>
      <c r="F161" s="12" t="n">
        <v>0.860700000134304</v>
      </c>
      <c r="G161" s="7" t="n">
        <f aca="false">IF(F161="","",IF(F161=E161,15,MIN(15,-LOG10(ABS(F161-E161)/ABS(E161)))))</f>
        <v>11.3009793789692</v>
      </c>
      <c r="H161" s="12" t="n">
        <v>1.3576062225E-010</v>
      </c>
      <c r="I161" s="12" t="n">
        <v>1.35684845674612E-010</v>
      </c>
      <c r="J161" s="7" t="n">
        <f aca="false">IF(I161="","",IF(I161=H161,15,MIN(15,-LOG10(ABS(I161-H161)/ABS(H161)))))</f>
        <v>3.25323884579907</v>
      </c>
    </row>
    <row r="162" customFormat="false" ht="15" hidden="false" customHeight="true" outlineLevel="0" collapsed="false">
      <c r="A162" s="6" t="s">
        <v>67</v>
      </c>
      <c r="B162" s="6" t="s">
        <v>55</v>
      </c>
      <c r="C162" s="6" t="n">
        <v>2</v>
      </c>
      <c r="D162" s="6" t="s">
        <v>56</v>
      </c>
      <c r="E162" s="12" t="n">
        <v>3.0000000002</v>
      </c>
      <c r="F162" s="12" t="n">
        <v>3.00000000023429</v>
      </c>
      <c r="G162" s="7" t="n">
        <f aca="false">IF(F162="","",IF(F162=E162,15,MIN(15,-LOG10(ABS(F162-E162)/ABS(E162)))))</f>
        <v>10.9419549823497</v>
      </c>
      <c r="H162" s="12" t="n">
        <v>3.3308253069E-010</v>
      </c>
      <c r="I162" s="12" t="n">
        <v>3.32896616292591E-010</v>
      </c>
      <c r="J162" s="7" t="n">
        <f aca="false">IF(I162="","",IF(I162=H162,15,MIN(15,-LOG10(ABS(I162-H162)/ABS(H162)))))</f>
        <v>3.25323883237407</v>
      </c>
    </row>
    <row r="163" customFormat="false" ht="15" hidden="false" customHeight="true" outlineLevel="0" collapsed="false">
      <c r="A163" s="6" t="s">
        <v>67</v>
      </c>
      <c r="B163" s="6" t="s">
        <v>55</v>
      </c>
      <c r="C163" s="6" t="n">
        <v>2</v>
      </c>
      <c r="D163" s="6" t="s">
        <v>57</v>
      </c>
      <c r="E163" s="12" t="n">
        <v>1.5575999998</v>
      </c>
      <c r="F163" s="12" t="n">
        <v>1.55759999983837</v>
      </c>
      <c r="G163" s="7" t="n">
        <f aca="false">IF(F163="","",IF(F163=E163,15,MIN(15,-LOG10(ABS(F163-E163)/ABS(E163)))))</f>
        <v>10.6084644350711</v>
      </c>
      <c r="H163" s="12" t="n">
        <v>1.8815731448E-010</v>
      </c>
      <c r="I163" s="12" t="n">
        <v>1.88052291996415E-010</v>
      </c>
      <c r="J163" s="7" t="n">
        <f aca="false">IF(I163="","",IF(I163=H163,15,MIN(15,-LOG10(ABS(I163-H163)/ABS(H163)))))</f>
        <v>3.2532388215456</v>
      </c>
    </row>
    <row r="164" customFormat="false" ht="15" hidden="false" customHeight="true" outlineLevel="0" collapsed="false">
      <c r="A164" s="6" t="s">
        <v>67</v>
      </c>
      <c r="B164" s="6" t="s">
        <v>55</v>
      </c>
      <c r="C164" s="6" t="n">
        <v>2</v>
      </c>
      <c r="D164" s="6" t="s">
        <v>58</v>
      </c>
      <c r="E164" s="12" t="n">
        <v>5.0000000001</v>
      </c>
      <c r="F164" s="12" t="n">
        <v>5.00000000011142</v>
      </c>
      <c r="G164" s="7" t="n">
        <f aca="false">IF(F164="","",IF(F164=E164,15,MIN(15,-LOG10(ABS(F164-E164)/ABS(E164)))))</f>
        <v>11.6412963661183</v>
      </c>
      <c r="H164" s="12" t="n">
        <v>1.1057500538E-010</v>
      </c>
      <c r="I164" s="12" t="n">
        <v>1.10513286490838E-010</v>
      </c>
      <c r="J164" s="7" t="n">
        <f aca="false">IF(I164="","",IF(I164=H164,15,MIN(15,-LOG10(ABS(I164-H164)/ABS(H164)))))</f>
        <v>3.25323886829358</v>
      </c>
    </row>
    <row r="165" customFormat="false" ht="15" hidden="false" customHeight="true" outlineLevel="0" collapsed="false">
      <c r="A165" s="6" t="s">
        <v>67</v>
      </c>
      <c r="B165" s="6" t="s">
        <v>55</v>
      </c>
      <c r="C165" s="6" t="n">
        <v>2</v>
      </c>
      <c r="D165" s="6" t="s">
        <v>47</v>
      </c>
      <c r="E165" s="12" t="n">
        <v>1.4307867721E-025</v>
      </c>
      <c r="F165" s="12" t="n">
        <v>1.42918999715937E-025</v>
      </c>
      <c r="G165" s="7" t="n">
        <f aca="false">IF(F165="","",IF(F165=E165,15,MIN(15,-LOG10(ABS(F165-E165)/ABS(E165)))))</f>
        <v>2.95233120806687</v>
      </c>
      <c r="H165" s="12"/>
      <c r="I165" s="12"/>
      <c r="J165" s="7"/>
    </row>
    <row r="166" customFormat="false" ht="15" hidden="false" customHeight="true" outlineLevel="0" collapsed="false">
      <c r="A166" s="6" t="s">
        <v>68</v>
      </c>
      <c r="B166" s="6" t="s">
        <v>55</v>
      </c>
      <c r="C166" s="6" t="n">
        <v>1</v>
      </c>
      <c r="D166" s="6" t="s">
        <v>44</v>
      </c>
      <c r="E166" s="12" t="n">
        <v>0.096251029939</v>
      </c>
      <c r="F166" s="12" t="n">
        <v>0.0962510299392468</v>
      </c>
      <c r="G166" s="7" t="n">
        <f aca="false">IF(F166="","",IF(F166=E166,15,MIN(15,-LOG10(ABS(F166-E166)/ABS(E166)))))</f>
        <v>11.5910801140915</v>
      </c>
      <c r="H166" s="12" t="n">
        <v>0.00066770575477</v>
      </c>
      <c r="I166" s="12" t="n">
        <v>0.000667705753580642</v>
      </c>
      <c r="J166" s="7" t="n">
        <f aca="false">IF(I166="","",IF(I166=H166,15,MIN(15,-LOG10(ABS(I166-H166)/ABS(H166)))))</f>
        <v>8.7492725338227</v>
      </c>
    </row>
    <row r="167" customFormat="false" ht="15" hidden="false" customHeight="true" outlineLevel="0" collapsed="false">
      <c r="A167" s="6" t="s">
        <v>68</v>
      </c>
      <c r="B167" s="6" t="s">
        <v>55</v>
      </c>
      <c r="C167" s="6" t="n">
        <v>1</v>
      </c>
      <c r="D167" s="6" t="s">
        <v>45</v>
      </c>
      <c r="E167" s="12" t="n">
        <v>1.0057332849</v>
      </c>
      <c r="F167" s="12" t="n">
        <v>1.00573328486156</v>
      </c>
      <c r="G167" s="7" t="n">
        <f aca="false">IF(F167="","",IF(F167=E167,15,MIN(15,-LOG10(ABS(F167-E167)/ABS(E167)))))</f>
        <v>10.4177003718046</v>
      </c>
      <c r="H167" s="12" t="n">
        <v>0.0033989646176</v>
      </c>
      <c r="I167" s="12" t="n">
        <v>0.00339896461163278</v>
      </c>
      <c r="J167" s="7" t="n">
        <f aca="false">IF(I167="","",IF(I167=H167,15,MIN(15,-LOG10(ABS(I167-H167)/ABS(H167)))))</f>
        <v>8.75557457885407</v>
      </c>
    </row>
    <row r="168" customFormat="false" ht="15" hidden="false" customHeight="true" outlineLevel="0" collapsed="false">
      <c r="A168" s="6" t="s">
        <v>68</v>
      </c>
      <c r="B168" s="6" t="s">
        <v>55</v>
      </c>
      <c r="C168" s="6" t="n">
        <v>1</v>
      </c>
      <c r="D168" s="6" t="s">
        <v>46</v>
      </c>
      <c r="E168" s="12" t="n">
        <v>0.86424689056</v>
      </c>
      <c r="F168" s="12" t="n">
        <v>0.864246890555966</v>
      </c>
      <c r="G168" s="7" t="n">
        <f aca="false">IF(F168="","",IF(F168=E168,15,MIN(15,-LOG10(ABS(F168-E168)/ABS(E168)))))</f>
        <v>11.3309024313479</v>
      </c>
      <c r="H168" s="12" t="n">
        <v>0.0017185846685</v>
      </c>
      <c r="I168" s="12" t="n">
        <v>0.00171858466535512</v>
      </c>
      <c r="J168" s="7" t="n">
        <f aca="false">IF(I168="","",IF(I168=H168,15,MIN(15,-LOG10(ABS(I168-H168)/ABS(H168)))))</f>
        <v>8.73756685828261</v>
      </c>
    </row>
    <row r="169" customFormat="false" ht="15" hidden="false" customHeight="true" outlineLevel="0" collapsed="false">
      <c r="A169" s="6" t="s">
        <v>68</v>
      </c>
      <c r="B169" s="6" t="s">
        <v>55</v>
      </c>
      <c r="C169" s="6" t="n">
        <v>1</v>
      </c>
      <c r="D169" s="6" t="s">
        <v>56</v>
      </c>
      <c r="E169" s="12" t="n">
        <v>3.0078283915</v>
      </c>
      <c r="F169" s="12" t="n">
        <v>3.00782839149201</v>
      </c>
      <c r="G169" s="7" t="n">
        <f aca="false">IF(F169="","",IF(F169=E169,15,MIN(15,-LOG10(ABS(F169-E169)/ABS(E169)))))</f>
        <v>11.5757033908449</v>
      </c>
      <c r="H169" s="12" t="n">
        <v>0.0041707005856</v>
      </c>
      <c r="I169" s="12" t="n">
        <v>0.00417070057804014</v>
      </c>
      <c r="J169" s="7" t="n">
        <f aca="false">IF(I169="","",IF(I169=H169,15,MIN(15,-LOG10(ABS(I169-H169)/ABS(H169)))))</f>
        <v>8.74169526831032</v>
      </c>
    </row>
    <row r="170" customFormat="false" ht="15" hidden="false" customHeight="true" outlineLevel="0" collapsed="false">
      <c r="A170" s="6" t="s">
        <v>68</v>
      </c>
      <c r="B170" s="6" t="s">
        <v>55</v>
      </c>
      <c r="C170" s="6" t="n">
        <v>1</v>
      </c>
      <c r="D170" s="6" t="s">
        <v>57</v>
      </c>
      <c r="E170" s="12" t="n">
        <v>1.5529016879</v>
      </c>
      <c r="F170" s="12" t="n">
        <v>1.55290168787122</v>
      </c>
      <c r="G170" s="7" t="n">
        <f aca="false">IF(F170="","",IF(F170=E170,15,MIN(15,-LOG10(ABS(F170-E170)/ABS(E170)))))</f>
        <v>10.7320551736916</v>
      </c>
      <c r="H170" s="12" t="n">
        <v>0.0023744381417</v>
      </c>
      <c r="I170" s="12" t="n">
        <v>0.00237443813732573</v>
      </c>
      <c r="J170" s="7" t="n">
        <f aca="false">IF(I170="","",IF(I170=H170,15,MIN(15,-LOG10(ABS(I170-H170)/ABS(H170)))))</f>
        <v>8.73465531250089</v>
      </c>
    </row>
    <row r="171" customFormat="false" ht="15" hidden="false" customHeight="true" outlineLevel="0" collapsed="false">
      <c r="A171" s="6" t="s">
        <v>68</v>
      </c>
      <c r="B171" s="6" t="s">
        <v>55</v>
      </c>
      <c r="C171" s="6" t="n">
        <v>1</v>
      </c>
      <c r="D171" s="6" t="s">
        <v>58</v>
      </c>
      <c r="E171" s="12" t="n">
        <v>5.00287981</v>
      </c>
      <c r="F171" s="12" t="n">
        <v>5.00287980998474</v>
      </c>
      <c r="G171" s="7" t="n">
        <f aca="false">IF(F171="","",IF(F171=E171,15,MIN(15,-LOG10(ABS(F171-E171)/ABS(E171)))))</f>
        <v>11.5156714148134</v>
      </c>
      <c r="H171" s="12" t="n">
        <v>0.0013958787284</v>
      </c>
      <c r="I171" s="12" t="n">
        <v>0.00139587872587391</v>
      </c>
      <c r="J171" s="7" t="n">
        <f aca="false">IF(I171="","",IF(I171=H171,15,MIN(15,-LOG10(ABS(I171-H171)/ABS(H171)))))</f>
        <v>8.74239886708223</v>
      </c>
    </row>
    <row r="172" customFormat="false" ht="15" hidden="false" customHeight="true" outlineLevel="0" collapsed="false">
      <c r="A172" s="6" t="s">
        <v>68</v>
      </c>
      <c r="B172" s="6" t="s">
        <v>55</v>
      </c>
      <c r="C172" s="6" t="n">
        <v>1</v>
      </c>
      <c r="D172" s="6" t="s">
        <v>47</v>
      </c>
      <c r="E172" s="12" t="n">
        <v>2.2299428125E-011</v>
      </c>
      <c r="F172" s="12" t="n">
        <v>2.22994281231437E-011</v>
      </c>
      <c r="G172" s="7" t="n">
        <f aca="false">IF(F172="","",IF(F172=E172,15,MIN(15,-LOG10(ABS(F172-E172)/ABS(E172)))))</f>
        <v>10.0796455788572</v>
      </c>
      <c r="H172" s="12"/>
      <c r="I172" s="12"/>
      <c r="J172" s="7"/>
    </row>
    <row r="173" customFormat="false" ht="15" hidden="false" customHeight="true" outlineLevel="0" collapsed="false">
      <c r="A173" s="6" t="s">
        <v>68</v>
      </c>
      <c r="B173" s="6" t="s">
        <v>55</v>
      </c>
      <c r="C173" s="6" t="n">
        <v>2</v>
      </c>
      <c r="D173" s="6" t="s">
        <v>44</v>
      </c>
      <c r="E173" s="12" t="n">
        <v>0.096251029939</v>
      </c>
      <c r="F173" s="12" t="n">
        <v>0.0962510298627146</v>
      </c>
      <c r="G173" s="7" t="n">
        <f aca="false">IF(F173="","",IF(F173=E173,15,MIN(15,-LOG10(ABS(F173-E173)/ABS(E173)))))</f>
        <v>9.10096390896242</v>
      </c>
      <c r="H173" s="12" t="n">
        <v>0.00066770575477</v>
      </c>
      <c r="I173" s="12" t="n">
        <v>0.000667705754452988</v>
      </c>
      <c r="J173" s="7" t="n">
        <f aca="false">IF(I173="","",IF(I173=H173,15,MIN(15,-LOG10(ABS(I173-H173)/ABS(H173)))))</f>
        <v>9.32350950875396</v>
      </c>
    </row>
    <row r="174" customFormat="false" ht="15" hidden="false" customHeight="true" outlineLevel="0" collapsed="false">
      <c r="A174" s="6" t="s">
        <v>68</v>
      </c>
      <c r="B174" s="6" t="s">
        <v>55</v>
      </c>
      <c r="C174" s="6" t="n">
        <v>2</v>
      </c>
      <c r="D174" s="6" t="s">
        <v>45</v>
      </c>
      <c r="E174" s="12" t="n">
        <v>1.0057332849</v>
      </c>
      <c r="F174" s="12" t="n">
        <v>1.0057332844734</v>
      </c>
      <c r="G174" s="7" t="n">
        <f aca="false">IF(F174="","",IF(F174=E174,15,MIN(15,-LOG10(ABS(F174-E174)/ABS(E174)))))</f>
        <v>9.37246188211084</v>
      </c>
      <c r="H174" s="12" t="n">
        <v>0.0033989646176</v>
      </c>
      <c r="I174" s="12" t="n">
        <v>0.00339896461866671</v>
      </c>
      <c r="J174" s="7" t="n">
        <f aca="false">IF(I174="","",IF(I174=H174,15,MIN(15,-LOG10(ABS(I174-H174)/ABS(H174)))))</f>
        <v>9.50330041786101</v>
      </c>
    </row>
    <row r="175" customFormat="false" ht="15" hidden="false" customHeight="true" outlineLevel="0" collapsed="false">
      <c r="A175" s="6" t="s">
        <v>68</v>
      </c>
      <c r="B175" s="6" t="s">
        <v>55</v>
      </c>
      <c r="C175" s="6" t="n">
        <v>2</v>
      </c>
      <c r="D175" s="6" t="s">
        <v>46</v>
      </c>
      <c r="E175" s="12" t="n">
        <v>0.86424689056</v>
      </c>
      <c r="F175" s="12" t="n">
        <v>0.864246890359311</v>
      </c>
      <c r="G175" s="7" t="n">
        <f aca="false">IF(F175="","",IF(F175=E175,15,MIN(15,-LOG10(ABS(F175-E175)/ABS(E175)))))</f>
        <v>9.63411421138576</v>
      </c>
      <c r="H175" s="12" t="n">
        <v>0.0017185846685</v>
      </c>
      <c r="I175" s="12" t="n">
        <v>0.00171858466656508</v>
      </c>
      <c r="J175" s="7" t="n">
        <f aca="false">IF(I175="","",IF(I175=H175,15,MIN(15,-LOG10(ABS(I175-H175)/ABS(H175)))))</f>
        <v>8.94850794433423</v>
      </c>
    </row>
    <row r="176" customFormat="false" ht="15" hidden="false" customHeight="true" outlineLevel="0" collapsed="false">
      <c r="A176" s="6" t="s">
        <v>68</v>
      </c>
      <c r="B176" s="6" t="s">
        <v>55</v>
      </c>
      <c r="C176" s="6" t="n">
        <v>2</v>
      </c>
      <c r="D176" s="6" t="s">
        <v>56</v>
      </c>
      <c r="E176" s="12" t="n">
        <v>3.0078283915</v>
      </c>
      <c r="F176" s="12" t="n">
        <v>3.00782839101149</v>
      </c>
      <c r="G176" s="7" t="n">
        <f aca="false">IF(F176="","",IF(F176=E176,15,MIN(15,-LOG10(ABS(F176-E176)/ABS(E176)))))</f>
        <v>9.7893794882896</v>
      </c>
      <c r="H176" s="12" t="n">
        <v>0.0041707005856</v>
      </c>
      <c r="I176" s="12" t="n">
        <v>0.00417070058357915</v>
      </c>
      <c r="J176" s="7" t="n">
        <f aca="false">IF(I176="","",IF(I176=H176,15,MIN(15,-LOG10(ABS(I176-H176)/ABS(H176)))))</f>
        <v>9.31467482666699</v>
      </c>
    </row>
    <row r="177" customFormat="false" ht="15" hidden="false" customHeight="true" outlineLevel="0" collapsed="false">
      <c r="A177" s="6" t="s">
        <v>68</v>
      </c>
      <c r="B177" s="6" t="s">
        <v>55</v>
      </c>
      <c r="C177" s="6" t="n">
        <v>2</v>
      </c>
      <c r="D177" s="6" t="s">
        <v>57</v>
      </c>
      <c r="E177" s="12" t="n">
        <v>1.5529016879</v>
      </c>
      <c r="F177" s="12" t="n">
        <v>1.55290168814437</v>
      </c>
      <c r="G177" s="7" t="n">
        <f aca="false">IF(F177="","",IF(F177=E177,15,MIN(15,-LOG10(ABS(F177-E177)/ABS(E177)))))</f>
        <v>9.80309593148447</v>
      </c>
      <c r="H177" s="12" t="n">
        <v>0.0023744381417</v>
      </c>
      <c r="I177" s="12" t="n">
        <v>0.00237443813942536</v>
      </c>
      <c r="J177" s="7" t="n">
        <f aca="false">IF(I177="","",IF(I177=H177,15,MIN(15,-LOG10(ABS(I177-H177)/ABS(H177)))))</f>
        <v>9.01864824937457</v>
      </c>
    </row>
    <row r="178" customFormat="false" ht="15" hidden="false" customHeight="true" outlineLevel="0" collapsed="false">
      <c r="A178" s="6" t="s">
        <v>68</v>
      </c>
      <c r="B178" s="6" t="s">
        <v>55</v>
      </c>
      <c r="C178" s="6" t="n">
        <v>2</v>
      </c>
      <c r="D178" s="6" t="s">
        <v>58</v>
      </c>
      <c r="E178" s="12" t="n">
        <v>5.00287981</v>
      </c>
      <c r="F178" s="12" t="n">
        <v>5.00287980982475</v>
      </c>
      <c r="G178" s="7" t="n">
        <f aca="false">IF(F178="","",IF(F178=E178,15,MIN(15,-LOG10(ABS(F178-E178)/ABS(E178)))))</f>
        <v>10.4555619518491</v>
      </c>
      <c r="H178" s="12" t="n">
        <v>0.0013958787284</v>
      </c>
      <c r="I178" s="12" t="n">
        <v>0.00139587872710538</v>
      </c>
      <c r="J178" s="7" t="n">
        <f aca="false">IF(I178="","",IF(I178=H178,15,MIN(15,-LOG10(ABS(I178-H178)/ABS(H178)))))</f>
        <v>9.03270537379154</v>
      </c>
    </row>
    <row r="179" customFormat="false" ht="15" hidden="false" customHeight="true" outlineLevel="0" collapsed="false">
      <c r="A179" s="6" t="s">
        <v>68</v>
      </c>
      <c r="B179" s="6" t="s">
        <v>55</v>
      </c>
      <c r="C179" s="6" t="n">
        <v>2</v>
      </c>
      <c r="D179" s="6" t="s">
        <v>47</v>
      </c>
      <c r="E179" s="12" t="n">
        <v>2.2299428125E-011</v>
      </c>
      <c r="F179" s="12" t="n">
        <v>2.22994281239272E-011</v>
      </c>
      <c r="G179" s="7" t="n">
        <f aca="false">IF(F179="","",IF(F179=E179,15,MIN(15,-LOG10(ABS(F179-E179)/ABS(E179)))))</f>
        <v>10.3177756390198</v>
      </c>
      <c r="H179" s="12"/>
      <c r="I179" s="12"/>
      <c r="J179" s="7"/>
    </row>
    <row r="180" customFormat="false" ht="15" hidden="false" customHeight="true" outlineLevel="0" collapsed="false">
      <c r="A180" s="6" t="s">
        <v>69</v>
      </c>
      <c r="B180" s="6" t="s">
        <v>50</v>
      </c>
      <c r="C180" s="6" t="n">
        <v>1</v>
      </c>
      <c r="D180" s="6" t="s">
        <v>44</v>
      </c>
      <c r="E180" s="12" t="n">
        <v>0.086816414977</v>
      </c>
      <c r="F180" s="12" t="n">
        <v>0.0868164198686757</v>
      </c>
      <c r="G180" s="7" t="n">
        <f aca="false">IF(F180="","",IF(F180=E180,15,MIN(15,-LOG10(ABS(F180-E180)/ABS(E180)))))</f>
        <v>7.24914419048455</v>
      </c>
      <c r="H180" s="12" t="n">
        <v>0.017197908859</v>
      </c>
      <c r="I180" s="12" t="n">
        <v>0.0171979092580177</v>
      </c>
      <c r="J180" s="7" t="n">
        <f aca="false">IF(I180="","",IF(I180=H180,15,MIN(15,-LOG10(ABS(I180-H180)/ABS(H180)))))</f>
        <v>7.63448348498189</v>
      </c>
    </row>
    <row r="181" customFormat="false" ht="15" hidden="false" customHeight="true" outlineLevel="0" collapsed="false">
      <c r="A181" s="6" t="s">
        <v>69</v>
      </c>
      <c r="B181" s="6" t="s">
        <v>50</v>
      </c>
      <c r="C181" s="6" t="n">
        <v>1</v>
      </c>
      <c r="D181" s="6" t="s">
        <v>45</v>
      </c>
      <c r="E181" s="12" t="n">
        <v>0.95498101505</v>
      </c>
      <c r="F181" s="12" t="n">
        <v>0.95498104261609</v>
      </c>
      <c r="G181" s="7" t="n">
        <f aca="false">IF(F181="","",IF(F181=E181,15,MIN(15,-LOG10(ABS(F181-E181)/ABS(E181)))))</f>
        <v>7.5396195687218</v>
      </c>
      <c r="H181" s="12" t="n">
        <v>0.097041624475</v>
      </c>
      <c r="I181" s="12" t="n">
        <v>0.0970416212727504</v>
      </c>
      <c r="J181" s="7" t="n">
        <f aca="false">IF(I181="","",IF(I181=H181,15,MIN(15,-LOG10(ABS(I181-H181)/ABS(H181)))))</f>
        <v>7.48150287733311</v>
      </c>
    </row>
    <row r="182" customFormat="false" ht="15" hidden="false" customHeight="true" outlineLevel="0" collapsed="false">
      <c r="A182" s="6" t="s">
        <v>69</v>
      </c>
      <c r="B182" s="6" t="s">
        <v>50</v>
      </c>
      <c r="C182" s="6" t="n">
        <v>1</v>
      </c>
      <c r="D182" s="6" t="s">
        <v>46</v>
      </c>
      <c r="E182" s="12" t="n">
        <v>0.84400777463</v>
      </c>
      <c r="F182" s="12" t="n">
        <v>0.844007786183087</v>
      </c>
      <c r="G182" s="7" t="n">
        <f aca="false">IF(F182="","",IF(F182=E182,15,MIN(15,-LOG10(ABS(F182-E182)/ABS(E182)))))</f>
        <v>7.86364840178385</v>
      </c>
      <c r="H182" s="12" t="n">
        <v>0.041488663282</v>
      </c>
      <c r="I182" s="12" t="n">
        <v>0.0414886656605222</v>
      </c>
      <c r="J182" s="7" t="n">
        <f aca="false">IF(I182="","",IF(I182=H182,15,MIN(15,-LOG10(ABS(I182-H182)/ABS(H182)))))</f>
        <v>7.24162223354926</v>
      </c>
    </row>
    <row r="183" customFormat="false" ht="15" hidden="false" customHeight="true" outlineLevel="0" collapsed="false">
      <c r="A183" s="6" t="s">
        <v>69</v>
      </c>
      <c r="B183" s="6" t="s">
        <v>50</v>
      </c>
      <c r="C183" s="6" t="n">
        <v>1</v>
      </c>
      <c r="D183" s="6" t="s">
        <v>56</v>
      </c>
      <c r="E183" s="12" t="n">
        <v>2.9515951832</v>
      </c>
      <c r="F183" s="12" t="n">
        <v>2.95159521373587</v>
      </c>
      <c r="G183" s="7" t="n">
        <f aca="false">IF(F183="","",IF(F183=E183,15,MIN(15,-LOG10(ABS(F183-E183)/ABS(E183)))))</f>
        <v>7.98524649096995</v>
      </c>
      <c r="H183" s="12" t="n">
        <v>0.10766312506</v>
      </c>
      <c r="I183" s="12" t="n">
        <v>0.107663127292575</v>
      </c>
      <c r="J183" s="7" t="n">
        <f aca="false">IF(I183="","",IF(I183=H183,15,MIN(15,-LOG10(ABS(I183-H183)/ABS(H183)))))</f>
        <v>7.683260924365</v>
      </c>
    </row>
    <row r="184" customFormat="false" ht="15" hidden="false" customHeight="true" outlineLevel="0" collapsed="false">
      <c r="A184" s="6" t="s">
        <v>69</v>
      </c>
      <c r="B184" s="6" t="s">
        <v>50</v>
      </c>
      <c r="C184" s="6" t="n">
        <v>1</v>
      </c>
      <c r="D184" s="6" t="s">
        <v>57</v>
      </c>
      <c r="E184" s="12" t="n">
        <v>1.5825685901</v>
      </c>
      <c r="F184" s="12" t="n">
        <v>1.58256857370234</v>
      </c>
      <c r="G184" s="7" t="n">
        <f aca="false">IF(F184="","",IF(F184=E184,15,MIN(15,-LOG10(ABS(F184-E184)/ABS(E184)))))</f>
        <v>7.98458066737329</v>
      </c>
      <c r="H184" s="12" t="n">
        <v>0.058371576281</v>
      </c>
      <c r="I184" s="12" t="n">
        <v>0.0583715790559904</v>
      </c>
      <c r="J184" s="7" t="n">
        <f aca="false">IF(I184="","",IF(I184=H184,15,MIN(15,-LOG10(ABS(I184-H184)/ABS(H184)))))</f>
        <v>7.3229399366755</v>
      </c>
    </row>
    <row r="185" customFormat="false" ht="15" hidden="false" customHeight="true" outlineLevel="0" collapsed="false">
      <c r="A185" s="6" t="s">
        <v>69</v>
      </c>
      <c r="B185" s="6" t="s">
        <v>50</v>
      </c>
      <c r="C185" s="6" t="n">
        <v>1</v>
      </c>
      <c r="D185" s="6" t="s">
        <v>58</v>
      </c>
      <c r="E185" s="12" t="n">
        <v>4.9863565084</v>
      </c>
      <c r="F185" s="12" t="n">
        <v>4.98635651802872</v>
      </c>
      <c r="G185" s="7" t="n">
        <f aca="false">IF(F185="","",IF(F185=E185,15,MIN(15,-LOG10(ABS(F185-E185)/ABS(E185)))))</f>
        <v>8.71421476622025</v>
      </c>
      <c r="H185" s="12" t="n">
        <v>0.034436403035</v>
      </c>
      <c r="I185" s="12" t="n">
        <v>0.0344364046250464</v>
      </c>
      <c r="J185" s="7" t="n">
        <f aca="false">IF(I185="","",IF(I185=H185,15,MIN(15,-LOG10(ABS(I185-H185)/ABS(H185)))))</f>
        <v>7.33560798413472</v>
      </c>
    </row>
    <row r="186" customFormat="false" ht="15" hidden="false" customHeight="true" outlineLevel="0" collapsed="false">
      <c r="A186" s="6" t="s">
        <v>69</v>
      </c>
      <c r="B186" s="6" t="s">
        <v>50</v>
      </c>
      <c r="C186" s="6" t="n">
        <v>1</v>
      </c>
      <c r="D186" s="6" t="s">
        <v>47</v>
      </c>
      <c r="E186" s="12" t="n">
        <v>1.6117193594E-008</v>
      </c>
      <c r="F186" s="12" t="n">
        <v>1.61171935935561E-008</v>
      </c>
      <c r="G186" s="7" t="n">
        <f aca="false">IF(F186="","",IF(F186=E186,15,MIN(15,-LOG10(ABS(F186-E186)/ABS(E186)))))</f>
        <v>10.560006034727</v>
      </c>
      <c r="H186" s="12"/>
      <c r="I186" s="12"/>
      <c r="J186" s="7"/>
    </row>
    <row r="187" customFormat="false" ht="15" hidden="false" customHeight="true" outlineLevel="0" collapsed="false">
      <c r="A187" s="6" t="s">
        <v>69</v>
      </c>
      <c r="B187" s="6" t="s">
        <v>50</v>
      </c>
      <c r="C187" s="6" t="n">
        <v>2</v>
      </c>
      <c r="D187" s="6" t="s">
        <v>44</v>
      </c>
      <c r="E187" s="12" t="n">
        <v>0.086816414977</v>
      </c>
      <c r="F187" s="12" t="n">
        <v>0.0868164489421675</v>
      </c>
      <c r="G187" s="7" t="n">
        <f aca="false">IF(F187="","",IF(F187=E187,15,MIN(15,-LOG10(ABS(F187-E187)/ABS(E187)))))</f>
        <v>6.40756808734733</v>
      </c>
      <c r="H187" s="12" t="n">
        <v>0.017197908859</v>
      </c>
      <c r="I187" s="12" t="n">
        <v>0.017197911571862</v>
      </c>
      <c r="J187" s="7" t="n">
        <f aca="false">IF(I187="","",IF(I187=H187,15,MIN(15,-LOG10(ABS(I187-H187)/ABS(H187)))))</f>
        <v>6.80204794116142</v>
      </c>
    </row>
    <row r="188" customFormat="false" ht="15" hidden="false" customHeight="true" outlineLevel="0" collapsed="false">
      <c r="A188" s="6" t="s">
        <v>69</v>
      </c>
      <c r="B188" s="6" t="s">
        <v>50</v>
      </c>
      <c r="C188" s="6" t="n">
        <v>2</v>
      </c>
      <c r="D188" s="6" t="s">
        <v>45</v>
      </c>
      <c r="E188" s="12" t="n">
        <v>0.95498101505</v>
      </c>
      <c r="F188" s="12" t="n">
        <v>0.954981206303759</v>
      </c>
      <c r="G188" s="7" t="n">
        <f aca="false">IF(F188="","",IF(F188=E188,15,MIN(15,-LOG10(ABS(F188-E188)/ABS(E188)))))</f>
        <v>6.69838475805285</v>
      </c>
      <c r="H188" s="12" t="n">
        <v>0.097041624475</v>
      </c>
      <c r="I188" s="12" t="n">
        <v>0.0970416019440529</v>
      </c>
      <c r="J188" s="7" t="n">
        <f aca="false">IF(I188="","",IF(I188=H188,15,MIN(15,-LOG10(ABS(I188-H188)/ABS(H188)))))</f>
        <v>6.63417860994588</v>
      </c>
    </row>
    <row r="189" customFormat="false" ht="15" hidden="false" customHeight="true" outlineLevel="0" collapsed="false">
      <c r="A189" s="6" t="s">
        <v>69</v>
      </c>
      <c r="B189" s="6" t="s">
        <v>50</v>
      </c>
      <c r="C189" s="6" t="n">
        <v>2</v>
      </c>
      <c r="D189" s="6" t="s">
        <v>46</v>
      </c>
      <c r="E189" s="12" t="n">
        <v>0.84400777463</v>
      </c>
      <c r="F189" s="12" t="n">
        <v>0.844007855519078</v>
      </c>
      <c r="G189" s="7" t="n">
        <f aca="false">IF(F189="","",IF(F189=E189,15,MIN(15,-LOG10(ABS(F189-E189)/ABS(E189)))))</f>
        <v>7.01845656200648</v>
      </c>
      <c r="H189" s="12" t="n">
        <v>0.041488663282</v>
      </c>
      <c r="I189" s="12" t="n">
        <v>0.0414886797586155</v>
      </c>
      <c r="J189" s="7" t="n">
        <f aca="false">IF(I189="","",IF(I189=H189,15,MIN(15,-LOG10(ABS(I189-H189)/ABS(H189)))))</f>
        <v>6.40106143561143</v>
      </c>
    </row>
    <row r="190" customFormat="false" ht="15" hidden="false" customHeight="true" outlineLevel="0" collapsed="false">
      <c r="A190" s="6" t="s">
        <v>69</v>
      </c>
      <c r="B190" s="6" t="s">
        <v>50</v>
      </c>
      <c r="C190" s="6" t="n">
        <v>2</v>
      </c>
      <c r="D190" s="6" t="s">
        <v>56</v>
      </c>
      <c r="E190" s="12" t="n">
        <v>2.9515951832</v>
      </c>
      <c r="F190" s="12" t="n">
        <v>2.9515953959996</v>
      </c>
      <c r="G190" s="7" t="n">
        <f aca="false">IF(F190="","",IF(F190=E190,15,MIN(15,-LOG10(ABS(F190-E190)/ABS(E190)))))</f>
        <v>7.14208598532233</v>
      </c>
      <c r="H190" s="12" t="n">
        <v>0.10766312506</v>
      </c>
      <c r="I190" s="12" t="n">
        <v>0.107663140252248</v>
      </c>
      <c r="J190" s="7" t="n">
        <f aca="false">IF(I190="","",IF(I190=H190,15,MIN(15,-LOG10(ABS(I190-H190)/ABS(H190)))))</f>
        <v>6.85044494031932</v>
      </c>
    </row>
    <row r="191" customFormat="false" ht="15" hidden="false" customHeight="true" outlineLevel="0" collapsed="false">
      <c r="A191" s="6" t="s">
        <v>69</v>
      </c>
      <c r="B191" s="6" t="s">
        <v>50</v>
      </c>
      <c r="C191" s="6" t="n">
        <v>2</v>
      </c>
      <c r="D191" s="6" t="s">
        <v>57</v>
      </c>
      <c r="E191" s="12" t="n">
        <v>1.5825685901</v>
      </c>
      <c r="F191" s="12" t="n">
        <v>1.58256847530528</v>
      </c>
      <c r="G191" s="7" t="n">
        <f aca="false">IF(F191="","",IF(F191=E191,15,MIN(15,-LOG10(ABS(F191-E191)/ABS(E191)))))</f>
        <v>7.13944062895166</v>
      </c>
      <c r="H191" s="12" t="n">
        <v>0.058371576281</v>
      </c>
      <c r="I191" s="12" t="n">
        <v>0.0583715954567693</v>
      </c>
      <c r="J191" s="7" t="n">
        <f aca="false">IF(I191="","",IF(I191=H191,15,MIN(15,-LOG10(ABS(I191-H191)/ABS(H191)))))</f>
        <v>6.48344862515101</v>
      </c>
    </row>
    <row r="192" customFormat="false" ht="15" hidden="false" customHeight="true" outlineLevel="0" collapsed="false">
      <c r="A192" s="6" t="s">
        <v>69</v>
      </c>
      <c r="B192" s="6" t="s">
        <v>50</v>
      </c>
      <c r="C192" s="6" t="n">
        <v>2</v>
      </c>
      <c r="D192" s="6" t="s">
        <v>58</v>
      </c>
      <c r="E192" s="12" t="n">
        <v>4.9863565084</v>
      </c>
      <c r="F192" s="12" t="n">
        <v>4.98635657574983</v>
      </c>
      <c r="G192" s="7" t="n">
        <f aca="false">IF(F192="","",IF(F192=E192,15,MIN(15,-LOG10(ABS(F192-E192)/ABS(E192)))))</f>
        <v>7.86944682393811</v>
      </c>
      <c r="H192" s="12" t="n">
        <v>0.034436403035</v>
      </c>
      <c r="I192" s="12" t="n">
        <v>0.034436414032603</v>
      </c>
      <c r="J192" s="7" t="n">
        <f aca="false">IF(I192="","",IF(I192=H192,15,MIN(15,-LOG10(ABS(I192-H192)/ABS(H192)))))</f>
        <v>6.49571974384469</v>
      </c>
    </row>
    <row r="193" customFormat="false" ht="15" hidden="false" customHeight="true" outlineLevel="0" collapsed="false">
      <c r="A193" s="6" t="s">
        <v>69</v>
      </c>
      <c r="B193" s="6" t="s">
        <v>50</v>
      </c>
      <c r="C193" s="6" t="n">
        <v>2</v>
      </c>
      <c r="D193" s="6" t="s">
        <v>47</v>
      </c>
      <c r="E193" s="12" t="n">
        <v>1.6117193594E-008</v>
      </c>
      <c r="F193" s="12" t="n">
        <v>1.6117193593559E-008</v>
      </c>
      <c r="G193" s="7" t="n">
        <f aca="false">IF(F193="","",IF(F193=E193,15,MIN(15,-LOG10(ABS(F193-E193)/ABS(E193)))))</f>
        <v>10.5628510664098</v>
      </c>
      <c r="H193" s="12"/>
      <c r="I193" s="12"/>
      <c r="J193" s="7"/>
    </row>
    <row r="194" customFormat="false" ht="15" hidden="false" customHeight="true" outlineLevel="0" collapsed="false">
      <c r="A194" s="6" t="s">
        <v>70</v>
      </c>
      <c r="B194" s="6" t="s">
        <v>43</v>
      </c>
      <c r="C194" s="6" t="n">
        <v>1</v>
      </c>
      <c r="D194" s="6" t="s">
        <v>44</v>
      </c>
      <c r="E194" s="12" t="n">
        <v>0.19280693458</v>
      </c>
      <c r="F194" s="12" t="n">
        <v>0.192806941976699</v>
      </c>
      <c r="G194" s="7" t="n">
        <f aca="false">IF(F194="","",IF(F194=E194,15,MIN(15,-LOG10(ABS(F194-E194)/ABS(E194)))))</f>
        <v>7.41608470372662</v>
      </c>
      <c r="H194" s="12" t="n">
        <v>0.011435312227</v>
      </c>
      <c r="I194" s="12" t="n">
        <v>0.011435316073305</v>
      </c>
      <c r="J194" s="7" t="n">
        <f aca="false">IF(I194="","",IF(I194=H194,15,MIN(15,-LOG10(ABS(I194-H194)/ABS(H194)))))</f>
        <v>6.47320430748737</v>
      </c>
    </row>
    <row r="195" customFormat="false" ht="15" hidden="false" customHeight="true" outlineLevel="0" collapsed="false">
      <c r="A195" s="6" t="s">
        <v>70</v>
      </c>
      <c r="B195" s="6" t="s">
        <v>43</v>
      </c>
      <c r="C195" s="6" t="n">
        <v>1</v>
      </c>
      <c r="D195" s="6" t="s">
        <v>45</v>
      </c>
      <c r="E195" s="12" t="n">
        <v>0.19128232873</v>
      </c>
      <c r="F195" s="12" t="n">
        <v>0.191282162576954</v>
      </c>
      <c r="G195" s="7" t="n">
        <f aca="false">IF(F195="","",IF(F195=E195,15,MIN(15,-LOG10(ABS(F195-E195)/ABS(E195)))))</f>
        <v>6.06116654294297</v>
      </c>
      <c r="H195" s="12" t="n">
        <v>0.19633220911</v>
      </c>
      <c r="I195" s="12" t="n">
        <v>0.196332419239141</v>
      </c>
      <c r="J195" s="7" t="n">
        <f aca="false">IF(I195="","",IF(I195=H195,15,MIN(15,-LOG10(ABS(I195-H195)/ABS(H195)))))</f>
        <v>5.97050526809844</v>
      </c>
    </row>
    <row r="196" customFormat="false" ht="15" hidden="false" customHeight="true" outlineLevel="0" collapsed="false">
      <c r="A196" s="6" t="s">
        <v>70</v>
      </c>
      <c r="B196" s="6" t="s">
        <v>43</v>
      </c>
      <c r="C196" s="6" t="n">
        <v>1</v>
      </c>
      <c r="D196" s="6" t="s">
        <v>46</v>
      </c>
      <c r="E196" s="12" t="n">
        <v>0.12305650693</v>
      </c>
      <c r="F196" s="12" t="n">
        <v>0.123056475636259</v>
      </c>
      <c r="G196" s="7" t="n">
        <f aca="false">IF(F196="","",IF(F196=E196,15,MIN(15,-LOG10(ABS(F196-E196)/ABS(E196)))))</f>
        <v>6.59464709922707</v>
      </c>
      <c r="H196" s="12" t="n">
        <v>0.080842031232</v>
      </c>
      <c r="I196" s="12" t="n">
        <v>0.080842093819148</v>
      </c>
      <c r="J196" s="7" t="n">
        <f aca="false">IF(I196="","",IF(I196=H196,15,MIN(15,-LOG10(ABS(I196-H196)/ABS(H196)))))</f>
        <v>6.11115205512334</v>
      </c>
    </row>
    <row r="197" customFormat="false" ht="15" hidden="false" customHeight="true" outlineLevel="0" collapsed="false">
      <c r="A197" s="6" t="s">
        <v>70</v>
      </c>
      <c r="B197" s="6" t="s">
        <v>43</v>
      </c>
      <c r="C197" s="6" t="n">
        <v>1</v>
      </c>
      <c r="D197" s="6" t="s">
        <v>56</v>
      </c>
      <c r="E197" s="12" t="n">
        <v>0.13606233068</v>
      </c>
      <c r="F197" s="12" t="n">
        <v>0.136062253751448</v>
      </c>
      <c r="G197" s="7" t="n">
        <f aca="false">IF(F197="","",IF(F197=E197,15,MIN(15,-LOG10(ABS(F197-E197)/ABS(E197)))))</f>
        <v>6.24765034799481</v>
      </c>
      <c r="H197" s="12" t="n">
        <v>0.090025542308</v>
      </c>
      <c r="I197" s="12" t="n">
        <v>0.0900256219503781</v>
      </c>
      <c r="J197" s="7" t="n">
        <f aca="false">IF(I197="","",IF(I197=H197,15,MIN(15,-LOG10(ABS(I197-H197)/ABS(H197)))))</f>
        <v>6.0532215267735</v>
      </c>
    </row>
    <row r="198" customFormat="false" ht="15" hidden="false" customHeight="true" outlineLevel="0" collapsed="false">
      <c r="A198" s="6" t="s">
        <v>70</v>
      </c>
      <c r="B198" s="6" t="s">
        <v>43</v>
      </c>
      <c r="C198" s="6" t="n">
        <v>1</v>
      </c>
      <c r="D198" s="6" t="s">
        <v>47</v>
      </c>
      <c r="E198" s="12" t="n">
        <v>0.00030750560385</v>
      </c>
      <c r="F198" s="12" t="n">
        <v>0.00030750560384929</v>
      </c>
      <c r="G198" s="7" t="n">
        <f aca="false">IF(F198="","",IF(F198=E198,15,MIN(15,-LOG10(ABS(F198-E198)/ABS(E198)))))</f>
        <v>11.6365677709816</v>
      </c>
      <c r="H198" s="12"/>
      <c r="I198" s="12"/>
      <c r="J198" s="7"/>
    </row>
    <row r="199" customFormat="false" ht="15" hidden="false" customHeight="true" outlineLevel="0" collapsed="false">
      <c r="A199" s="6" t="s">
        <v>70</v>
      </c>
      <c r="B199" s="6" t="s">
        <v>43</v>
      </c>
      <c r="C199" s="6" t="n">
        <v>2</v>
      </c>
      <c r="D199" s="6" t="s">
        <v>44</v>
      </c>
      <c r="E199" s="12" t="n">
        <v>0.19280693458</v>
      </c>
      <c r="F199" s="12" t="n">
        <v>0.192806942956634</v>
      </c>
      <c r="G199" s="7" t="n">
        <f aca="false">IF(F199="","",IF(F199=E199,15,MIN(15,-LOG10(ABS(F199-E199)/ABS(E199)))))</f>
        <v>7.36205310976104</v>
      </c>
      <c r="H199" s="12" t="n">
        <v>0.011435312227</v>
      </c>
      <c r="I199" s="12" t="n">
        <v>0.0114353165828662</v>
      </c>
      <c r="J199" s="7" t="n">
        <f aca="false">IF(I199="","",IF(I199=H199,15,MIN(15,-LOG10(ABS(I199-H199)/ABS(H199)))))</f>
        <v>6.41917349592492</v>
      </c>
    </row>
    <row r="200" customFormat="false" ht="15" hidden="false" customHeight="true" outlineLevel="0" collapsed="false">
      <c r="A200" s="6" t="s">
        <v>70</v>
      </c>
      <c r="B200" s="6" t="s">
        <v>43</v>
      </c>
      <c r="C200" s="6" t="n">
        <v>2</v>
      </c>
      <c r="D200" s="6" t="s">
        <v>45</v>
      </c>
      <c r="E200" s="12" t="n">
        <v>0.19128232873</v>
      </c>
      <c r="F200" s="12" t="n">
        <v>0.191282140566814</v>
      </c>
      <c r="G200" s="7" t="n">
        <f aca="false">IF(F200="","",IF(F200=E200,15,MIN(15,-LOG10(ABS(F200-E200)/ABS(E200)))))</f>
        <v>6.0071401923834</v>
      </c>
      <c r="H200" s="12" t="n">
        <v>0.19633220911</v>
      </c>
      <c r="I200" s="12" t="n">
        <v>0.196332447073937</v>
      </c>
      <c r="J200" s="7" t="n">
        <f aca="false">IF(I200="","",IF(I200=H200,15,MIN(15,-LOG10(ABS(I200-H200)/ABS(H200)))))</f>
        <v>5.91648040774143</v>
      </c>
    </row>
    <row r="201" customFormat="false" ht="15" hidden="false" customHeight="true" outlineLevel="0" collapsed="false">
      <c r="A201" s="6" t="s">
        <v>70</v>
      </c>
      <c r="B201" s="6" t="s">
        <v>43</v>
      </c>
      <c r="C201" s="6" t="n">
        <v>2</v>
      </c>
      <c r="D201" s="6" t="s">
        <v>46</v>
      </c>
      <c r="E201" s="12" t="n">
        <v>0.12305650693</v>
      </c>
      <c r="F201" s="12" t="n">
        <v>0.123056471491394</v>
      </c>
      <c r="G201" s="7" t="n">
        <f aca="false">IF(F201="","",IF(F201=E201,15,MIN(15,-LOG10(ABS(F201-E201)/ABS(E201)))))</f>
        <v>6.54062795268458</v>
      </c>
      <c r="H201" s="12" t="n">
        <v>0.080842031232</v>
      </c>
      <c r="I201" s="12" t="n">
        <v>0.0808421021098052</v>
      </c>
      <c r="J201" s="7" t="n">
        <f aca="false">IF(I201="","",IF(I201=H201,15,MIN(15,-LOG10(ABS(I201-H201)/ABS(H201)))))</f>
        <v>6.05712695624912</v>
      </c>
    </row>
    <row r="202" customFormat="false" ht="15" hidden="false" customHeight="true" outlineLevel="0" collapsed="false">
      <c r="A202" s="6" t="s">
        <v>70</v>
      </c>
      <c r="B202" s="6" t="s">
        <v>43</v>
      </c>
      <c r="C202" s="6" t="n">
        <v>2</v>
      </c>
      <c r="D202" s="6" t="s">
        <v>56</v>
      </c>
      <c r="E202" s="12" t="n">
        <v>0.13606233068</v>
      </c>
      <c r="F202" s="12" t="n">
        <v>0.136062243560563</v>
      </c>
      <c r="G202" s="7" t="n">
        <f aca="false">IF(F202="","",IF(F202=E202,15,MIN(15,-LOG10(ABS(F202-E202)/ABS(E202)))))</f>
        <v>6.19362284577219</v>
      </c>
      <c r="H202" s="12" t="n">
        <v>0.090025542308</v>
      </c>
      <c r="I202" s="12" t="n">
        <v>0.0900256325002006</v>
      </c>
      <c r="J202" s="7" t="n">
        <f aca="false">IF(I202="","",IF(I202=H202,15,MIN(15,-LOG10(ABS(I202-H202)/ABS(H202)))))</f>
        <v>5.99919676281918</v>
      </c>
    </row>
    <row r="203" customFormat="false" ht="15" hidden="false" customHeight="true" outlineLevel="0" collapsed="false">
      <c r="A203" s="6" t="s">
        <v>70</v>
      </c>
      <c r="B203" s="6" t="s">
        <v>43</v>
      </c>
      <c r="C203" s="6" t="n">
        <v>2</v>
      </c>
      <c r="D203" s="6" t="s">
        <v>47</v>
      </c>
      <c r="E203" s="12" t="n">
        <v>0.00030750560385</v>
      </c>
      <c r="F203" s="12" t="n">
        <v>0.000307505603849305</v>
      </c>
      <c r="G203" s="7" t="n">
        <f aca="false">IF(F203="","",IF(F203=E203,15,MIN(15,-LOG10(ABS(F203-E203)/ABS(E203)))))</f>
        <v>11.6458508568881</v>
      </c>
      <c r="H203" s="12"/>
      <c r="I203" s="12"/>
      <c r="J203" s="7"/>
    </row>
    <row r="204" customFormat="false" ht="15" hidden="false" customHeight="true" outlineLevel="0" collapsed="false">
      <c r="A204" s="6" t="s">
        <v>71</v>
      </c>
      <c r="B204" s="6" t="s">
        <v>43</v>
      </c>
      <c r="C204" s="6" t="n">
        <v>1</v>
      </c>
      <c r="D204" s="6" t="s">
        <v>44</v>
      </c>
      <c r="E204" s="12" t="n">
        <v>0.005609636471</v>
      </c>
      <c r="F204" s="12" t="n">
        <v>0.00560963647197782</v>
      </c>
      <c r="G204" s="7" t="n">
        <f aca="false">IF(F204="","",IF(F204=E204,15,MIN(15,-LOG10(ABS(F204-E204)/ABS(E204)))))</f>
        <v>9.75867568865337</v>
      </c>
      <c r="H204" s="12" t="n">
        <v>0.00015687892471</v>
      </c>
      <c r="I204" s="12" t="n">
        <v>0.000156878924726045</v>
      </c>
      <c r="J204" s="7" t="n">
        <f aca="false">IF(I204="","",IF(I204=H204,15,MIN(15,-LOG10(ABS(I204-H204)/ABS(H204)))))</f>
        <v>9.99022489517908</v>
      </c>
    </row>
    <row r="205" customFormat="false" ht="15" hidden="false" customHeight="true" outlineLevel="0" collapsed="false">
      <c r="A205" s="6" t="s">
        <v>71</v>
      </c>
      <c r="B205" s="6" t="s">
        <v>43</v>
      </c>
      <c r="C205" s="6" t="n">
        <v>1</v>
      </c>
      <c r="D205" s="6" t="s">
        <v>45</v>
      </c>
      <c r="E205" s="12" t="n">
        <v>6181.3463463</v>
      </c>
      <c r="F205" s="12" t="n">
        <v>6181.34634614504</v>
      </c>
      <c r="G205" s="7" t="n">
        <f aca="false">IF(F205="","",IF(F205=E205,15,MIN(15,-LOG10(ABS(F205-E205)/ABS(E205)))))</f>
        <v>10.6008642908283</v>
      </c>
      <c r="H205" s="12" t="n">
        <v>23.309021107</v>
      </c>
      <c r="I205" s="12" t="n">
        <v>23.3090211052151</v>
      </c>
      <c r="J205" s="7" t="n">
        <f aca="false">IF(I205="","",IF(I205=H205,15,MIN(15,-LOG10(ABS(I205-H205)/ABS(H205)))))</f>
        <v>10.1159098741007</v>
      </c>
    </row>
    <row r="206" customFormat="false" ht="15" hidden="false" customHeight="true" outlineLevel="0" collapsed="false">
      <c r="A206" s="6" t="s">
        <v>71</v>
      </c>
      <c r="B206" s="6" t="s">
        <v>43</v>
      </c>
      <c r="C206" s="6" t="n">
        <v>1</v>
      </c>
      <c r="D206" s="6" t="s">
        <v>46</v>
      </c>
      <c r="E206" s="12" t="n">
        <v>345.22363462</v>
      </c>
      <c r="F206" s="12" t="n">
        <v>345.223634619372</v>
      </c>
      <c r="G206" s="7" t="n">
        <f aca="false">IF(F206="","",IF(F206=E206,15,MIN(15,-LOG10(ABS(F206-E206)/ABS(E206)))))</f>
        <v>11.7401366642732</v>
      </c>
      <c r="H206" s="12" t="n">
        <v>0.78486103508</v>
      </c>
      <c r="I206" s="12" t="n">
        <v>0.784861035029329</v>
      </c>
      <c r="J206" s="7" t="n">
        <f aca="false">IF(I206="","",IF(I206=H206,15,MIN(15,-LOG10(ABS(I206-H206)/ABS(H206)))))</f>
        <v>10.1900330969952</v>
      </c>
    </row>
    <row r="207" customFormat="false" ht="15" hidden="false" customHeight="true" outlineLevel="0" collapsed="false">
      <c r="A207" s="6" t="s">
        <v>71</v>
      </c>
      <c r="B207" s="6" t="s">
        <v>43</v>
      </c>
      <c r="C207" s="6" t="n">
        <v>1</v>
      </c>
      <c r="D207" s="6" t="s">
        <v>47</v>
      </c>
      <c r="E207" s="12" t="n">
        <v>87.945855171</v>
      </c>
      <c r="F207" s="12" t="n">
        <v>87.9458551707024</v>
      </c>
      <c r="G207" s="7" t="n">
        <f aca="false">IF(F207="","",IF(F207=E207,15,MIN(15,-LOG10(ABS(F207-E207)/ABS(E207)))))</f>
        <v>11.4705770215568</v>
      </c>
      <c r="H207" s="12"/>
      <c r="I207" s="12"/>
      <c r="J207" s="7"/>
    </row>
    <row r="208" customFormat="false" ht="15" hidden="false" customHeight="true" outlineLevel="0" collapsed="false">
      <c r="A208" s="6" t="s">
        <v>71</v>
      </c>
      <c r="B208" s="6" t="s">
        <v>43</v>
      </c>
      <c r="C208" s="6" t="n">
        <v>2</v>
      </c>
      <c r="D208" s="6" t="s">
        <v>44</v>
      </c>
      <c r="E208" s="12" t="n">
        <v>0.005609636471</v>
      </c>
      <c r="F208" s="12" t="n">
        <v>0.00560963647102809</v>
      </c>
      <c r="G208" s="7" t="n">
        <f aca="false">IF(F208="","",IF(F208=E208,15,MIN(15,-LOG10(ABS(F208-E208)/ABS(E208)))))</f>
        <v>11.3003771462813</v>
      </c>
      <c r="H208" s="12" t="n">
        <v>0.00015687892471</v>
      </c>
      <c r="I208" s="12" t="n">
        <v>0.000156878924720329</v>
      </c>
      <c r="J208" s="7" t="n">
        <f aca="false">IF(I208="","",IF(I208=H208,15,MIN(15,-LOG10(ABS(I208-H208)/ABS(H208)))))</f>
        <v>10.1815061430748</v>
      </c>
    </row>
    <row r="209" customFormat="false" ht="15" hidden="false" customHeight="true" outlineLevel="0" collapsed="false">
      <c r="A209" s="6" t="s">
        <v>71</v>
      </c>
      <c r="B209" s="6" t="s">
        <v>43</v>
      </c>
      <c r="C209" s="6" t="n">
        <v>2</v>
      </c>
      <c r="D209" s="6" t="s">
        <v>45</v>
      </c>
      <c r="E209" s="12" t="n">
        <v>6181.3463463</v>
      </c>
      <c r="F209" s="12" t="n">
        <v>6181.34634628636</v>
      </c>
      <c r="G209" s="7" t="n">
        <f aca="false">IF(F209="","",IF(F209=E209,15,MIN(15,-LOG10(ABS(F209-E209)/ABS(E209)))))</f>
        <v>11.6562785132643</v>
      </c>
      <c r="H209" s="12" t="n">
        <v>23.309021107</v>
      </c>
      <c r="I209" s="12" t="n">
        <v>23.3090211085884</v>
      </c>
      <c r="J209" s="7" t="n">
        <f aca="false">IF(I209="","",IF(I209=H209,15,MIN(15,-LOG10(ABS(I209-H209)/ABS(H209)))))</f>
        <v>10.1665640139593</v>
      </c>
    </row>
    <row r="210" customFormat="false" ht="15" hidden="false" customHeight="true" outlineLevel="0" collapsed="false">
      <c r="A210" s="6" t="s">
        <v>71</v>
      </c>
      <c r="B210" s="6" t="s">
        <v>43</v>
      </c>
      <c r="C210" s="6" t="n">
        <v>2</v>
      </c>
      <c r="D210" s="6" t="s">
        <v>46</v>
      </c>
      <c r="E210" s="12" t="n">
        <v>345.22363462</v>
      </c>
      <c r="F210" s="12" t="n">
        <v>345.223634624136</v>
      </c>
      <c r="G210" s="7" t="n">
        <f aca="false">IF(F210="","",IF(F210=E210,15,MIN(15,-LOG10(ABS(F210-E210)/ABS(E210)))))</f>
        <v>10.9215157018901</v>
      </c>
      <c r="H210" s="12" t="n">
        <v>0.78486103508</v>
      </c>
      <c r="I210" s="12" t="n">
        <v>0.784861035134011</v>
      </c>
      <c r="J210" s="7" t="n">
        <f aca="false">IF(I210="","",IF(I210=H210,15,MIN(15,-LOG10(ABS(I210-H210)/ABS(H210)))))</f>
        <v>10.1623112995286</v>
      </c>
    </row>
    <row r="211" customFormat="false" ht="15" hidden="false" customHeight="true" outlineLevel="0" collapsed="false">
      <c r="A211" s="6" t="s">
        <v>71</v>
      </c>
      <c r="B211" s="6" t="s">
        <v>43</v>
      </c>
      <c r="C211" s="6" t="n">
        <v>2</v>
      </c>
      <c r="D211" s="6" t="s">
        <v>47</v>
      </c>
      <c r="E211" s="12" t="n">
        <v>87.945855171</v>
      </c>
      <c r="F211" s="12" t="n">
        <v>87.9458551706802</v>
      </c>
      <c r="G211" s="7" t="n">
        <f aca="false">IF(F211="","",IF(F211=E211,15,MIN(15,-LOG10(ABS(F211-E211)/ABS(E211)))))</f>
        <v>11.439335457655</v>
      </c>
      <c r="H211" s="12"/>
      <c r="I211" s="12"/>
      <c r="J211" s="7"/>
    </row>
    <row r="212" customFormat="false" ht="15" hidden="false" customHeight="true" outlineLevel="0" collapsed="false">
      <c r="A212" s="6" t="s">
        <v>72</v>
      </c>
      <c r="B212" s="6" t="s">
        <v>55</v>
      </c>
      <c r="C212" s="6" t="n">
        <v>1</v>
      </c>
      <c r="D212" s="6" t="s">
        <v>44</v>
      </c>
      <c r="E212" s="12" t="n">
        <v>0.37541005211</v>
      </c>
      <c r="F212" s="12" t="n">
        <v>0.375410052192313</v>
      </c>
      <c r="G212" s="7" t="n">
        <f aca="false">IF(F212="","",IF(F212=E212,15,MIN(15,-LOG10(ABS(F212-E212)/ABS(E212)))))</f>
        <v>9.65903752092009</v>
      </c>
      <c r="H212" s="12" t="n">
        <v>0.0020723153551</v>
      </c>
      <c r="I212" s="12" t="n">
        <v>0.00207231535276501</v>
      </c>
      <c r="J212" s="7" t="n">
        <f aca="false">IF(I212="","",IF(I212=H212,15,MIN(15,-LOG10(ABS(I212-H212)/ABS(H212)))))</f>
        <v>8.9481707690358</v>
      </c>
    </row>
    <row r="213" customFormat="false" ht="15" hidden="false" customHeight="true" outlineLevel="0" collapsed="false">
      <c r="A213" s="6" t="s">
        <v>72</v>
      </c>
      <c r="B213" s="6" t="s">
        <v>55</v>
      </c>
      <c r="C213" s="6" t="n">
        <v>1</v>
      </c>
      <c r="D213" s="6" t="s">
        <v>45</v>
      </c>
      <c r="E213" s="12" t="n">
        <v>1.9358469127</v>
      </c>
      <c r="F213" s="12" t="n">
        <v>1.93584692366358</v>
      </c>
      <c r="G213" s="7" t="n">
        <f aca="false">IF(F213="","",IF(F213=E213,15,MIN(15,-LOG10(ABS(F213-E213)/ABS(E213)))))</f>
        <v>8.24691861851994</v>
      </c>
      <c r="H213" s="12" t="n">
        <v>0.22031669222</v>
      </c>
      <c r="I213" s="12" t="n">
        <v>0.220316852183501</v>
      </c>
      <c r="J213" s="7" t="n">
        <f aca="false">IF(I213="","",IF(I213=H213,15,MIN(15,-LOG10(ABS(I213-H213)/ABS(H213)))))</f>
        <v>6.13902650193046</v>
      </c>
    </row>
    <row r="214" customFormat="false" ht="15" hidden="false" customHeight="true" outlineLevel="0" collapsed="false">
      <c r="A214" s="6" t="s">
        <v>72</v>
      </c>
      <c r="B214" s="6" t="s">
        <v>55</v>
      </c>
      <c r="C214" s="6" t="n">
        <v>1</v>
      </c>
      <c r="D214" s="6" t="s">
        <v>46</v>
      </c>
      <c r="E214" s="12" t="n">
        <v>-1.4646871366</v>
      </c>
      <c r="F214" s="12" t="n">
        <v>-1.4646871476196</v>
      </c>
      <c r="G214" s="7" t="n">
        <f aca="false">IF(F214="","",IF(F214=E214,15,MIN(15,-LOG10(ABS(F214-E214)/ABS(E214)))))</f>
        <v>8.12357904105491</v>
      </c>
      <c r="H214" s="12" t="n">
        <v>0.22175707739</v>
      </c>
      <c r="I214" s="12" t="n">
        <v>0.221757237340139</v>
      </c>
      <c r="J214" s="7" t="n">
        <f aca="false">IF(I214="","",IF(I214=H214,15,MIN(15,-LOG10(ABS(I214-H214)/ABS(H214)))))</f>
        <v>6.14189286744134</v>
      </c>
    </row>
    <row r="215" customFormat="false" ht="15" hidden="false" customHeight="true" outlineLevel="0" collapsed="false">
      <c r="A215" s="6" t="s">
        <v>72</v>
      </c>
      <c r="B215" s="6" t="s">
        <v>55</v>
      </c>
      <c r="C215" s="6" t="n">
        <v>1</v>
      </c>
      <c r="D215" s="6" t="s">
        <v>56</v>
      </c>
      <c r="E215" s="12" t="n">
        <v>0.01286753464</v>
      </c>
      <c r="F215" s="12" t="n">
        <v>0.0128675346617973</v>
      </c>
      <c r="G215" s="7" t="n">
        <f aca="false">IF(F215="","",IF(F215=E215,15,MIN(15,-LOG10(ABS(F215-E215)/ABS(E215)))))</f>
        <v>8.771092677606</v>
      </c>
      <c r="H215" s="12" t="n">
        <v>0.00044861358114</v>
      </c>
      <c r="I215" s="12" t="n">
        <v>0.000448613719502535</v>
      </c>
      <c r="J215" s="7" t="n">
        <f aca="false">IF(I215="","",IF(I215=H215,15,MIN(15,-LOG10(ABS(I215-H215)/ABS(H215)))))</f>
        <v>6.51085390670363</v>
      </c>
    </row>
    <row r="216" customFormat="false" ht="15" hidden="false" customHeight="true" outlineLevel="0" collapsed="false">
      <c r="A216" s="6" t="s">
        <v>72</v>
      </c>
      <c r="B216" s="6" t="s">
        <v>55</v>
      </c>
      <c r="C216" s="6" t="n">
        <v>1</v>
      </c>
      <c r="D216" s="6" t="s">
        <v>57</v>
      </c>
      <c r="E216" s="12" t="n">
        <v>0.022122699662</v>
      </c>
      <c r="F216" s="12" t="n">
        <v>0.0221226996163425</v>
      </c>
      <c r="G216" s="7" t="n">
        <f aca="false">IF(F216="","",IF(F216=E216,15,MIN(15,-LOG10(ABS(F216-E216)/ABS(E216)))))</f>
        <v>8.68532600877664</v>
      </c>
      <c r="H216" s="12" t="n">
        <v>0.00089471996575</v>
      </c>
      <c r="I216" s="12" t="n">
        <v>0.000894720095140609</v>
      </c>
      <c r="J216" s="7" t="n">
        <f aca="false">IF(I216="","",IF(I216=H216,15,MIN(15,-LOG10(ABS(I216-H216)/ABS(H216)))))</f>
        <v>6.8397843717709</v>
      </c>
    </row>
    <row r="217" customFormat="false" ht="15" hidden="false" customHeight="true" outlineLevel="0" collapsed="false">
      <c r="A217" s="6" t="s">
        <v>72</v>
      </c>
      <c r="B217" s="6" t="s">
        <v>55</v>
      </c>
      <c r="C217" s="6" t="n">
        <v>1</v>
      </c>
      <c r="D217" s="6" t="s">
        <v>47</v>
      </c>
      <c r="E217" s="12" t="n">
        <v>5.4648946975E-005</v>
      </c>
      <c r="F217" s="12" t="n">
        <v>5.46489469748289E-005</v>
      </c>
      <c r="G217" s="7" t="n">
        <f aca="false">IF(F217="","",IF(F217=E217,15,MIN(15,-LOG10(ABS(F217-E217)/ABS(E217)))))</f>
        <v>11.5043301250222</v>
      </c>
      <c r="H217" s="12"/>
      <c r="I217" s="12"/>
      <c r="J217" s="7"/>
    </row>
    <row r="218" customFormat="false" ht="15" hidden="false" customHeight="true" outlineLevel="0" collapsed="false">
      <c r="A218" s="6" t="s">
        <v>72</v>
      </c>
      <c r="B218" s="6" t="s">
        <v>55</v>
      </c>
      <c r="C218" s="6" t="n">
        <v>2</v>
      </c>
      <c r="D218" s="6" t="s">
        <v>44</v>
      </c>
      <c r="E218" s="12" t="n">
        <v>0.37541005211</v>
      </c>
      <c r="F218" s="12" t="n">
        <v>0.375410052024078</v>
      </c>
      <c r="G218" s="7" t="n">
        <f aca="false">IF(F218="","",IF(F218=E218,15,MIN(15,-LOG10(ABS(F218-E218)/ABS(E218)))))</f>
        <v>9.64040156147898</v>
      </c>
      <c r="H218" s="12" t="n">
        <v>0.0020723153551</v>
      </c>
      <c r="I218" s="12" t="n">
        <v>0.00207231535764378</v>
      </c>
      <c r="J218" s="7" t="n">
        <f aca="false">IF(I218="","",IF(I218=H218,15,MIN(15,-LOG10(ABS(I218-H218)/ABS(H218)))))</f>
        <v>8.9109763209645</v>
      </c>
    </row>
    <row r="219" customFormat="false" ht="15" hidden="false" customHeight="true" outlineLevel="0" collapsed="false">
      <c r="A219" s="6" t="s">
        <v>72</v>
      </c>
      <c r="B219" s="6" t="s">
        <v>55</v>
      </c>
      <c r="C219" s="6" t="n">
        <v>2</v>
      </c>
      <c r="D219" s="6" t="s">
        <v>45</v>
      </c>
      <c r="E219" s="12" t="n">
        <v>1.9358469127</v>
      </c>
      <c r="F219" s="12" t="n">
        <v>1.93584690207885</v>
      </c>
      <c r="G219" s="7" t="n">
        <f aca="false">IF(F219="","",IF(F219=E219,15,MIN(15,-LOG10(ABS(F219-E219)/ABS(E219)))))</f>
        <v>8.26069946953803</v>
      </c>
      <c r="H219" s="12" t="n">
        <v>0.22031669222</v>
      </c>
      <c r="I219" s="12" t="n">
        <v>0.220316536749767</v>
      </c>
      <c r="J219" s="7" t="n">
        <f aca="false">IF(I219="","",IF(I219=H219,15,MIN(15,-LOG10(ABS(I219-H219)/ABS(H219)))))</f>
        <v>6.15140015316042</v>
      </c>
    </row>
    <row r="220" customFormat="false" ht="15" hidden="false" customHeight="true" outlineLevel="0" collapsed="false">
      <c r="A220" s="6" t="s">
        <v>72</v>
      </c>
      <c r="B220" s="6" t="s">
        <v>55</v>
      </c>
      <c r="C220" s="6" t="n">
        <v>2</v>
      </c>
      <c r="D220" s="6" t="s">
        <v>46</v>
      </c>
      <c r="E220" s="12" t="n">
        <v>-1.4646871366</v>
      </c>
      <c r="F220" s="12" t="n">
        <v>-1.46468712592655</v>
      </c>
      <c r="G220" s="7" t="n">
        <f aca="false">IF(F220="","",IF(F220=E220,15,MIN(15,-LOG10(ABS(F220-E220)/ABS(E220)))))</f>
        <v>8.13744004244736</v>
      </c>
      <c r="H220" s="12" t="n">
        <v>0.22175707739</v>
      </c>
      <c r="I220" s="12" t="n">
        <v>0.221756921919513</v>
      </c>
      <c r="J220" s="7" t="n">
        <f aca="false">IF(I220="","",IF(I220=H220,15,MIN(15,-LOG10(ABS(I220-H220)/ABS(H220)))))</f>
        <v>6.15422953026387</v>
      </c>
    </row>
    <row r="221" customFormat="false" ht="15" hidden="false" customHeight="true" outlineLevel="0" collapsed="false">
      <c r="A221" s="6" t="s">
        <v>72</v>
      </c>
      <c r="B221" s="6" t="s">
        <v>55</v>
      </c>
      <c r="C221" s="6" t="n">
        <v>2</v>
      </c>
      <c r="D221" s="6" t="s">
        <v>56</v>
      </c>
      <c r="E221" s="12" t="n">
        <v>0.01286753464</v>
      </c>
      <c r="F221" s="12" t="n">
        <v>0.0128675346189487</v>
      </c>
      <c r="G221" s="7" t="n">
        <f aca="false">IF(F221="","",IF(F221=E221,15,MIN(15,-LOG10(ABS(F221-E221)/ABS(E221)))))</f>
        <v>8.78621639830531</v>
      </c>
      <c r="H221" s="12" t="n">
        <v>0.00044861358114</v>
      </c>
      <c r="I221" s="12" t="n">
        <v>0.000448613446717016</v>
      </c>
      <c r="J221" s="7" t="n">
        <f aca="false">IF(I221="","",IF(I221=H221,15,MIN(15,-LOG10(ABS(I221-H221)/ABS(H221)))))</f>
        <v>6.52339888528365</v>
      </c>
    </row>
    <row r="222" customFormat="false" ht="15" hidden="false" customHeight="true" outlineLevel="0" collapsed="false">
      <c r="A222" s="6" t="s">
        <v>72</v>
      </c>
      <c r="B222" s="6" t="s">
        <v>55</v>
      </c>
      <c r="C222" s="6" t="n">
        <v>2</v>
      </c>
      <c r="D222" s="6" t="s">
        <v>57</v>
      </c>
      <c r="E222" s="12" t="n">
        <v>0.022122699662</v>
      </c>
      <c r="F222" s="12" t="n">
        <v>0.0221226997056879</v>
      </c>
      <c r="G222" s="7" t="n">
        <f aca="false">IF(F222="","",IF(F222=E222,15,MIN(15,-LOG10(ABS(F222-E222)/ABS(E222)))))</f>
        <v>8.70447694878248</v>
      </c>
      <c r="H222" s="12" t="n">
        <v>0.00089471996575</v>
      </c>
      <c r="I222" s="12" t="n">
        <v>0.000894719840125585</v>
      </c>
      <c r="J222" s="7" t="n">
        <f aca="false">IF(I222="","",IF(I222=H222,15,MIN(15,-LOG10(ABS(I222-H222)/ABS(H222)))))</f>
        <v>6.85261307619165</v>
      </c>
    </row>
    <row r="223" customFormat="false" ht="15" hidden="false" customHeight="true" outlineLevel="0" collapsed="false">
      <c r="A223" s="6" t="s">
        <v>72</v>
      </c>
      <c r="B223" s="6" t="s">
        <v>55</v>
      </c>
      <c r="C223" s="6" t="n">
        <v>2</v>
      </c>
      <c r="D223" s="6" t="s">
        <v>47</v>
      </c>
      <c r="E223" s="12" t="n">
        <v>5.4648946975E-005</v>
      </c>
      <c r="F223" s="12" t="n">
        <v>5.46489469748268E-005</v>
      </c>
      <c r="G223" s="7" t="n">
        <f aca="false">IF(F223="","",IF(F223=E223,15,MIN(15,-LOG10(ABS(F223-E223)/ABS(E223)))))</f>
        <v>11.4990306579905</v>
      </c>
      <c r="H223" s="12"/>
      <c r="I223" s="12"/>
      <c r="J223" s="7"/>
    </row>
    <row r="224" customFormat="false" ht="15" hidden="false" customHeight="true" outlineLevel="0" collapsed="false">
      <c r="A224" s="6" t="s">
        <v>73</v>
      </c>
      <c r="B224" s="6" t="s">
        <v>50</v>
      </c>
      <c r="C224" s="6" t="n">
        <v>1</v>
      </c>
      <c r="D224" s="6" t="s">
        <v>44</v>
      </c>
      <c r="E224" s="12" t="n">
        <v>238.94212918</v>
      </c>
      <c r="F224" s="12" t="n">
        <v>238.942129143431</v>
      </c>
      <c r="G224" s="7" t="n">
        <f aca="false">IF(F224="","",IF(F224=E224,15,MIN(15,-LOG10(ABS(F224-E224)/ABS(E224)))))</f>
        <v>9.81517974708526</v>
      </c>
      <c r="H224" s="12" t="n">
        <v>2.7070075241</v>
      </c>
      <c r="I224" s="12" t="n">
        <v>2.70700752323497</v>
      </c>
      <c r="J224" s="7" t="n">
        <f aca="false">IF(I224="","",IF(I224=H224,15,MIN(15,-LOG10(ABS(I224-H224)/ABS(H224)))))</f>
        <v>9.49545838103445</v>
      </c>
    </row>
    <row r="225" customFormat="false" ht="15" hidden="false" customHeight="true" outlineLevel="0" collapsed="false">
      <c r="A225" s="6" t="s">
        <v>73</v>
      </c>
      <c r="B225" s="6" t="s">
        <v>50</v>
      </c>
      <c r="C225" s="6" t="n">
        <v>1</v>
      </c>
      <c r="D225" s="6" t="s">
        <v>45</v>
      </c>
      <c r="E225" s="12" t="n">
        <v>0.00055015643181</v>
      </c>
      <c r="F225" s="12" t="n">
        <v>0.000550156431901148</v>
      </c>
      <c r="G225" s="7" t="n">
        <f aca="false">IF(F225="","",IF(F225=E225,15,MIN(15,-LOG10(ABS(F225-E225)/ABS(E225)))))</f>
        <v>9.78073900673479</v>
      </c>
      <c r="H225" s="12" t="n">
        <v>7.2668688436E-006</v>
      </c>
      <c r="I225" s="12" t="n">
        <v>7.26686884371612E-006</v>
      </c>
      <c r="J225" s="7" t="n">
        <f aca="false">IF(I225="","",IF(I225=H225,15,MIN(15,-LOG10(ABS(I225-H225)/ABS(H225)))))</f>
        <v>10.7964380739906</v>
      </c>
    </row>
    <row r="226" customFormat="false" ht="15" hidden="false" customHeight="true" outlineLevel="0" collapsed="false">
      <c r="A226" s="6" t="s">
        <v>73</v>
      </c>
      <c r="B226" s="6" t="s">
        <v>50</v>
      </c>
      <c r="C226" s="6" t="n">
        <v>1</v>
      </c>
      <c r="D226" s="6" t="s">
        <v>47</v>
      </c>
      <c r="E226" s="12" t="n">
        <v>0.12455138894</v>
      </c>
      <c r="F226" s="12" t="n">
        <v>0.124551388944405</v>
      </c>
      <c r="G226" s="7" t="n">
        <f aca="false">IF(F226="","",IF(F226=E226,15,MIN(15,-LOG10(ABS(F226-E226)/ABS(E226)))))</f>
        <v>10.4514022541128</v>
      </c>
      <c r="H226" s="12"/>
      <c r="I226" s="12"/>
      <c r="J226" s="7"/>
    </row>
    <row r="227" customFormat="false" ht="15" hidden="false" customHeight="true" outlineLevel="0" collapsed="false">
      <c r="A227" s="6" t="s">
        <v>73</v>
      </c>
      <c r="B227" s="6" t="s">
        <v>50</v>
      </c>
      <c r="C227" s="6" t="n">
        <v>2</v>
      </c>
      <c r="D227" s="6" t="s">
        <v>44</v>
      </c>
      <c r="E227" s="12" t="n">
        <v>238.94212918</v>
      </c>
      <c r="F227" s="12" t="n">
        <v>238.942129192653</v>
      </c>
      <c r="G227" s="7" t="n">
        <f aca="false">IF(F227="","",IF(F227=E227,15,MIN(15,-LOG10(ABS(F227-E227)/ABS(E227)))))</f>
        <v>10.2760990847367</v>
      </c>
      <c r="H227" s="12" t="n">
        <v>2.7070075241</v>
      </c>
      <c r="I227" s="12" t="n">
        <v>2.70700764763529</v>
      </c>
      <c r="J227" s="7" t="n">
        <f aca="false">IF(I227="","",IF(I227=H227,15,MIN(15,-LOG10(ABS(I227-H227)/ABS(H227)))))</f>
        <v>7.34069842382088</v>
      </c>
    </row>
    <row r="228" customFormat="false" ht="15" hidden="false" customHeight="true" outlineLevel="0" collapsed="false">
      <c r="A228" s="6" t="s">
        <v>73</v>
      </c>
      <c r="B228" s="6" t="s">
        <v>50</v>
      </c>
      <c r="C228" s="6" t="n">
        <v>2</v>
      </c>
      <c r="D228" s="6" t="s">
        <v>45</v>
      </c>
      <c r="E228" s="12" t="n">
        <v>0.00055015643181</v>
      </c>
      <c r="F228" s="12" t="n">
        <v>0.000550156431768847</v>
      </c>
      <c r="G228" s="7" t="n">
        <f aca="false">IF(F228="","",IF(F228=E228,15,MIN(15,-LOG10(ABS(F228-E228)/ABS(E228)))))</f>
        <v>10.1260851857513</v>
      </c>
      <c r="H228" s="12" t="n">
        <v>7.2668688436E-006</v>
      </c>
      <c r="I228" s="12" t="n">
        <v>7.26686882971862E-006</v>
      </c>
      <c r="J228" s="7" t="n">
        <f aca="false">IF(I228="","",IF(I228=H228,15,MIN(15,-LOG10(ABS(I228-H228)/ABS(H228)))))</f>
        <v>8.71891470294241</v>
      </c>
    </row>
    <row r="229" customFormat="false" ht="15" hidden="false" customHeight="true" outlineLevel="0" collapsed="false">
      <c r="A229" s="6" t="s">
        <v>73</v>
      </c>
      <c r="B229" s="6" t="s">
        <v>50</v>
      </c>
      <c r="C229" s="6" t="n">
        <v>2</v>
      </c>
      <c r="D229" s="6" t="s">
        <v>47</v>
      </c>
      <c r="E229" s="12" t="n">
        <v>0.12455138894</v>
      </c>
      <c r="F229" s="12" t="n">
        <v>0.1245513889444</v>
      </c>
      <c r="G229" s="7" t="n">
        <f aca="false">IF(F229="","",IF(F229=E229,15,MIN(15,-LOG10(ABS(F229-E229)/ABS(E229)))))</f>
        <v>10.4518950954547</v>
      </c>
      <c r="H229" s="12"/>
      <c r="I229" s="12"/>
      <c r="J229" s="7"/>
    </row>
    <row r="230" customFormat="false" ht="15" hidden="false" customHeight="true" outlineLevel="0" collapsed="false">
      <c r="A230" s="6" t="s">
        <v>74</v>
      </c>
      <c r="B230" s="6" t="s">
        <v>50</v>
      </c>
      <c r="C230" s="6" t="n">
        <v>1</v>
      </c>
      <c r="D230" s="6" t="s">
        <v>44</v>
      </c>
      <c r="E230" s="12" t="n">
        <v>337.99746163</v>
      </c>
      <c r="F230" s="12" t="n">
        <v>337.997461722819</v>
      </c>
      <c r="G230" s="7" t="n">
        <f aca="false">IF(F230="","",IF(F230=E230,15,MIN(15,-LOG10(ABS(F230-E230)/ABS(E230)))))</f>
        <v>9.56127631856471</v>
      </c>
      <c r="H230" s="12" t="n">
        <v>3.1643950207</v>
      </c>
      <c r="I230" s="12" t="n">
        <v>3.16439502241873</v>
      </c>
      <c r="J230" s="7" t="n">
        <f aca="false">IF(I230="","",IF(I230=H230,15,MIN(15,-LOG10(ABS(I230-H230)/ABS(H230)))))</f>
        <v>9.26508302300583</v>
      </c>
    </row>
    <row r="231" customFormat="false" ht="15" hidden="false" customHeight="true" outlineLevel="0" collapsed="false">
      <c r="A231" s="6" t="s">
        <v>74</v>
      </c>
      <c r="B231" s="6" t="s">
        <v>50</v>
      </c>
      <c r="C231" s="6" t="n">
        <v>1</v>
      </c>
      <c r="D231" s="6" t="s">
        <v>45</v>
      </c>
      <c r="E231" s="12" t="n">
        <v>0.00039039091287</v>
      </c>
      <c r="F231" s="12" t="n">
        <v>0.000390390912745721</v>
      </c>
      <c r="G231" s="7" t="n">
        <f aca="false">IF(F231="","",IF(F231=E231,15,MIN(15,-LOG10(ABS(F231-E231)/ABS(E231)))))</f>
        <v>9.49710212172434</v>
      </c>
      <c r="H231" s="12" t="n">
        <v>4.2547321834E-006</v>
      </c>
      <c r="I231" s="12" t="n">
        <v>4.25473218316907E-006</v>
      </c>
      <c r="J231" s="7" t="n">
        <f aca="false">IF(I231="","",IF(I231=H231,15,MIN(15,-LOG10(ABS(I231-H231)/ABS(H231)))))</f>
        <v>10.2653919093956</v>
      </c>
    </row>
    <row r="232" customFormat="false" ht="15" hidden="false" customHeight="true" outlineLevel="0" collapsed="false">
      <c r="A232" s="6" t="s">
        <v>74</v>
      </c>
      <c r="B232" s="6" t="s">
        <v>50</v>
      </c>
      <c r="C232" s="6" t="n">
        <v>1</v>
      </c>
      <c r="D232" s="6" t="s">
        <v>47</v>
      </c>
      <c r="E232" s="12" t="n">
        <v>0.075464681533</v>
      </c>
      <c r="F232" s="12" t="n">
        <v>0.0754646815333471</v>
      </c>
      <c r="G232" s="7" t="n">
        <f aca="false">IF(F232="","",IF(F232=E232,15,MIN(15,-LOG10(ABS(F232-E232)/ABS(E232)))))</f>
        <v>11.3372924445941</v>
      </c>
      <c r="H232" s="12"/>
      <c r="I232" s="12"/>
      <c r="J232" s="7"/>
    </row>
    <row r="233" customFormat="false" ht="15" hidden="false" customHeight="true" outlineLevel="0" collapsed="false">
      <c r="A233" s="6" t="s">
        <v>74</v>
      </c>
      <c r="B233" s="6" t="s">
        <v>50</v>
      </c>
      <c r="C233" s="6" t="n">
        <v>2</v>
      </c>
      <c r="D233" s="6" t="s">
        <v>44</v>
      </c>
      <c r="E233" s="12" t="n">
        <v>337.99746163</v>
      </c>
      <c r="F233" s="12" t="n">
        <v>337.997461765744</v>
      </c>
      <c r="G233" s="7" t="n">
        <f aca="false">IF(F233="","",IF(F233=E233,15,MIN(15,-LOG10(ABS(F233-E233)/ABS(E233)))))</f>
        <v>9.39619274210629</v>
      </c>
      <c r="H233" s="12" t="n">
        <v>3.1643950207</v>
      </c>
      <c r="I233" s="12" t="n">
        <v>3.16439502327178</v>
      </c>
      <c r="J233" s="7" t="n">
        <f aca="false">IF(I233="","",IF(I233=H233,15,MIN(15,-LOG10(ABS(I233-H233)/ABS(H233)))))</f>
        <v>9.09005685721425</v>
      </c>
    </row>
    <row r="234" customFormat="false" ht="15" hidden="false" customHeight="true" outlineLevel="0" collapsed="false">
      <c r="A234" s="6" t="s">
        <v>74</v>
      </c>
      <c r="B234" s="6" t="s">
        <v>50</v>
      </c>
      <c r="C234" s="6" t="n">
        <v>2</v>
      </c>
      <c r="D234" s="6" t="s">
        <v>45</v>
      </c>
      <c r="E234" s="12" t="n">
        <v>0.00039039091287</v>
      </c>
      <c r="F234" s="12" t="n">
        <v>0.000390390912687857</v>
      </c>
      <c r="G234" s="7" t="n">
        <f aca="false">IF(F234="","",IF(F234=E234,15,MIN(15,-LOG10(ABS(F234-E234)/ABS(E234)))))</f>
        <v>9.33108725418904</v>
      </c>
      <c r="H234" s="12" t="n">
        <v>4.2547321834E-006</v>
      </c>
      <c r="I234" s="12" t="n">
        <v>4.25473218305716E-006</v>
      </c>
      <c r="J234" s="7" t="n">
        <f aca="false">IF(I234="","",IF(I234=H234,15,MIN(15,-LOG10(ABS(I234-H234)/ABS(H234)))))</f>
        <v>10.0937807754583</v>
      </c>
    </row>
    <row r="235" customFormat="false" ht="15" hidden="false" customHeight="true" outlineLevel="0" collapsed="false">
      <c r="A235" s="6" t="s">
        <v>74</v>
      </c>
      <c r="B235" s="6" t="s">
        <v>50</v>
      </c>
      <c r="C235" s="6" t="n">
        <v>2</v>
      </c>
      <c r="D235" s="6" t="s">
        <v>47</v>
      </c>
      <c r="E235" s="12" t="n">
        <v>0.075464681533</v>
      </c>
      <c r="F235" s="12" t="n">
        <v>0.0754646815333893</v>
      </c>
      <c r="G235" s="7" t="n">
        <f aca="false">IF(F235="","",IF(F235=E235,15,MIN(15,-LOG10(ABS(F235-E235)/ABS(E235)))))</f>
        <v>11.287459670584</v>
      </c>
      <c r="H235" s="12"/>
      <c r="I235" s="12"/>
      <c r="J235" s="7"/>
    </row>
    <row r="236" customFormat="false" ht="15" hidden="false" customHeight="true" outlineLevel="0" collapsed="false">
      <c r="A236" s="6" t="s">
        <v>75</v>
      </c>
      <c r="B236" s="6" t="s">
        <v>55</v>
      </c>
      <c r="C236" s="6" t="n">
        <v>1</v>
      </c>
      <c r="D236" s="6" t="s">
        <v>44</v>
      </c>
      <c r="E236" s="12" t="n">
        <v>636.42725809</v>
      </c>
      <c r="F236" s="12" t="n">
        <v>636.427258086586</v>
      </c>
      <c r="G236" s="7" t="n">
        <f aca="false">IF(F236="","",IF(F236=E236,15,MIN(15,-LOG10(ABS(F236-E236)/ABS(E236)))))</f>
        <v>11.2704832534967</v>
      </c>
      <c r="H236" s="12" t="n">
        <v>4.6638326572</v>
      </c>
      <c r="I236" s="12" t="n">
        <v>4.66383261544962</v>
      </c>
      <c r="J236" s="7" t="n">
        <f aca="false">IF(I236="","",IF(I236=H236,15,MIN(15,-LOG10(ABS(I236-H236)/ABS(H236)))))</f>
        <v>8.04808252602783</v>
      </c>
    </row>
    <row r="237" customFormat="false" ht="15" hidden="false" customHeight="true" outlineLevel="0" collapsed="false">
      <c r="A237" s="6" t="s">
        <v>75</v>
      </c>
      <c r="B237" s="6" t="s">
        <v>55</v>
      </c>
      <c r="C237" s="6" t="n">
        <v>1</v>
      </c>
      <c r="D237" s="6" t="s">
        <v>45</v>
      </c>
      <c r="E237" s="12" t="n">
        <v>0.00020813627256</v>
      </c>
      <c r="F237" s="12" t="n">
        <v>0.000208136272565729</v>
      </c>
      <c r="G237" s="7" t="n">
        <f aca="false">IF(F237="","",IF(F237=E237,15,MIN(15,-LOG10(ABS(F237-E237)/ABS(E237)))))</f>
        <v>10.560268526313</v>
      </c>
      <c r="H237" s="12" t="n">
        <v>1.7728423155E-006</v>
      </c>
      <c r="I237" s="12" t="n">
        <v>1.77284231812561E-006</v>
      </c>
      <c r="J237" s="7" t="n">
        <f aca="false">IF(I237="","",IF(I237=H237,15,MIN(15,-LOG10(ABS(I237-H237)/ABS(H237)))))</f>
        <v>8.82943987957729</v>
      </c>
    </row>
    <row r="238" customFormat="false" ht="15" hidden="false" customHeight="true" outlineLevel="0" collapsed="false">
      <c r="A238" s="6" t="s">
        <v>75</v>
      </c>
      <c r="B238" s="6" t="s">
        <v>55</v>
      </c>
      <c r="C238" s="6" t="n">
        <v>1</v>
      </c>
      <c r="D238" s="6" t="s">
        <v>47</v>
      </c>
      <c r="E238" s="12" t="n">
        <v>0.040966836971</v>
      </c>
      <c r="F238" s="12" t="n">
        <v>0.0409668369706931</v>
      </c>
      <c r="G238" s="7" t="n">
        <f aca="false">IF(F238="","",IF(F238=E238,15,MIN(15,-LOG10(ABS(F238-E238)/ABS(E238)))))</f>
        <v>11.1254350661786</v>
      </c>
      <c r="H238" s="12"/>
      <c r="I238" s="12"/>
      <c r="J238" s="7"/>
    </row>
    <row r="239" customFormat="false" ht="15" hidden="false" customHeight="true" outlineLevel="0" collapsed="false">
      <c r="A239" s="6" t="s">
        <v>75</v>
      </c>
      <c r="B239" s="6" t="s">
        <v>55</v>
      </c>
      <c r="C239" s="6" t="n">
        <v>2</v>
      </c>
      <c r="D239" s="6" t="s">
        <v>44</v>
      </c>
      <c r="E239" s="12" t="n">
        <v>636.42725809</v>
      </c>
      <c r="F239" s="12" t="n">
        <v>636.42725805849</v>
      </c>
      <c r="G239" s="7" t="n">
        <f aca="false">IF(F239="","",IF(F239=E239,15,MIN(15,-LOG10(ABS(F239-E239)/ABS(E239)))))</f>
        <v>10.3053001983799</v>
      </c>
      <c r="H239" s="12" t="n">
        <v>4.6638326572</v>
      </c>
      <c r="I239" s="12" t="n">
        <v>4.6638324324098</v>
      </c>
      <c r="J239" s="7" t="n">
        <f aca="false">IF(I239="","",IF(I239=H239,15,MIN(15,-LOG10(ABS(I239-H239)/ABS(H239)))))</f>
        <v>7.31696558410355</v>
      </c>
    </row>
    <row r="240" customFormat="false" ht="15" hidden="false" customHeight="true" outlineLevel="0" collapsed="false">
      <c r="A240" s="6" t="s">
        <v>75</v>
      </c>
      <c r="B240" s="6" t="s">
        <v>55</v>
      </c>
      <c r="C240" s="6" t="n">
        <v>2</v>
      </c>
      <c r="D240" s="6" t="s">
        <v>45</v>
      </c>
      <c r="E240" s="12" t="n">
        <v>0.00020813627256</v>
      </c>
      <c r="F240" s="12" t="n">
        <v>0.000208136272576419</v>
      </c>
      <c r="G240" s="7" t="n">
        <f aca="false">IF(F240="","",IF(F240=E240,15,MIN(15,-LOG10(ABS(F240-E240)/ABS(E240)))))</f>
        <v>10.1030012002121</v>
      </c>
      <c r="H240" s="12" t="n">
        <v>1.7728423155E-006</v>
      </c>
      <c r="I240" s="12" t="n">
        <v>1.77284232971706E-006</v>
      </c>
      <c r="J240" s="7" t="n">
        <f aca="false">IF(I240="","",IF(I240=H240,15,MIN(15,-LOG10(ABS(I240-H240)/ABS(H240)))))</f>
        <v>8.09586031056285</v>
      </c>
    </row>
    <row r="241" customFormat="false" ht="15" hidden="false" customHeight="true" outlineLevel="0" collapsed="false">
      <c r="A241" s="6" t="s">
        <v>75</v>
      </c>
      <c r="B241" s="6" t="s">
        <v>55</v>
      </c>
      <c r="C241" s="6" t="n">
        <v>2</v>
      </c>
      <c r="D241" s="6" t="s">
        <v>47</v>
      </c>
      <c r="E241" s="12" t="n">
        <v>0.040966836971</v>
      </c>
      <c r="F241" s="12" t="n">
        <v>0.0409668369707022</v>
      </c>
      <c r="G241" s="7" t="n">
        <f aca="false">IF(F241="","",IF(F241=E241,15,MIN(15,-LOG10(ABS(F241-E241)/ABS(E241)))))</f>
        <v>11.1385027110066</v>
      </c>
      <c r="H241" s="12"/>
      <c r="I241" s="12"/>
      <c r="J241" s="7"/>
    </row>
    <row r="242" customFormat="false" ht="15" hidden="false" customHeight="true" outlineLevel="0" collapsed="false">
      <c r="A242" s="6" t="s">
        <v>76</v>
      </c>
      <c r="B242" s="6" t="s">
        <v>55</v>
      </c>
      <c r="C242" s="6" t="n">
        <v>1</v>
      </c>
      <c r="D242" s="6" t="s">
        <v>44</v>
      </c>
      <c r="E242" s="12" t="n">
        <v>437.36970754</v>
      </c>
      <c r="F242" s="12" t="n">
        <v>437.369708275617</v>
      </c>
      <c r="G242" s="7" t="n">
        <f aca="false">IF(F242="","",IF(F242=E242,15,MIN(15,-LOG10(ABS(F242-E242)/ABS(E242)))))</f>
        <v>8.77419694718707</v>
      </c>
      <c r="H242" s="12" t="n">
        <v>3.6489174345</v>
      </c>
      <c r="I242" s="12" t="n">
        <v>3.64891744712851</v>
      </c>
      <c r="J242" s="7" t="n">
        <f aca="false">IF(I242="","",IF(I242=H242,15,MIN(15,-LOG10(ABS(I242-H242)/ABS(H242)))))</f>
        <v>8.46081191587853</v>
      </c>
    </row>
    <row r="243" customFormat="false" ht="15" hidden="false" customHeight="true" outlineLevel="0" collapsed="false">
      <c r="A243" s="6" t="s">
        <v>76</v>
      </c>
      <c r="B243" s="6" t="s">
        <v>55</v>
      </c>
      <c r="C243" s="6" t="n">
        <v>1</v>
      </c>
      <c r="D243" s="6" t="s">
        <v>45</v>
      </c>
      <c r="E243" s="12" t="n">
        <v>0.00030227324449</v>
      </c>
      <c r="F243" s="12" t="n">
        <v>0.000302273243897762</v>
      </c>
      <c r="G243" s="7" t="n">
        <f aca="false">IF(F243="","",IF(F243=E243,15,MIN(15,-LOG10(ABS(F243-E243)/ABS(E243)))))</f>
        <v>8.70790343055843</v>
      </c>
      <c r="H243" s="12" t="n">
        <v>2.9334354479E-006</v>
      </c>
      <c r="I243" s="12" t="n">
        <v>2.93343544660508E-006</v>
      </c>
      <c r="J243" s="7" t="n">
        <f aca="false">IF(I243="","",IF(I243=H243,15,MIN(15,-LOG10(ABS(I243-H243)/ABS(H243)))))</f>
        <v>9.35513351234905</v>
      </c>
    </row>
    <row r="244" customFormat="false" ht="15" hidden="false" customHeight="true" outlineLevel="0" collapsed="false">
      <c r="A244" s="6" t="s">
        <v>76</v>
      </c>
      <c r="B244" s="6" t="s">
        <v>55</v>
      </c>
      <c r="C244" s="6" t="n">
        <v>1</v>
      </c>
      <c r="D244" s="6" t="s">
        <v>47</v>
      </c>
      <c r="E244" s="12" t="n">
        <v>0.056419295283</v>
      </c>
      <c r="F244" s="12" t="n">
        <v>0.056419295282648</v>
      </c>
      <c r="G244" s="7" t="n">
        <f aca="false">IF(F244="","",IF(F244=E244,15,MIN(15,-LOG10(ABS(F244-E244)/ABS(E244)))))</f>
        <v>11.2048811087216</v>
      </c>
      <c r="H244" s="12"/>
      <c r="I244" s="12"/>
      <c r="J244" s="7"/>
    </row>
    <row r="245" customFormat="false" ht="15" hidden="false" customHeight="true" outlineLevel="0" collapsed="false">
      <c r="A245" s="6" t="s">
        <v>76</v>
      </c>
      <c r="B245" s="6" t="s">
        <v>55</v>
      </c>
      <c r="C245" s="6" t="n">
        <v>2</v>
      </c>
      <c r="D245" s="6" t="s">
        <v>44</v>
      </c>
      <c r="E245" s="12" t="n">
        <v>437.36970754</v>
      </c>
      <c r="F245" s="12" t="n">
        <v>437.369707539893</v>
      </c>
      <c r="G245" s="7" t="n">
        <f aca="false">IF(F245="","",IF(F245=E245,15,MIN(15,-LOG10(ABS(F245-E245)/ABS(E245)))))</f>
        <v>12.6115488903989</v>
      </c>
      <c r="H245" s="12" t="n">
        <v>3.6489174345</v>
      </c>
      <c r="I245" s="12" t="n">
        <v>3.64891743452443</v>
      </c>
      <c r="J245" s="7" t="n">
        <f aca="false">IF(I245="","",IF(I245=H245,15,MIN(15,-LOG10(ABS(I245-H245)/ABS(H245)))))</f>
        <v>11.1742363810671</v>
      </c>
    </row>
    <row r="246" customFormat="false" ht="15" hidden="false" customHeight="true" outlineLevel="0" collapsed="false">
      <c r="A246" s="6" t="s">
        <v>76</v>
      </c>
      <c r="B246" s="6" t="s">
        <v>55</v>
      </c>
      <c r="C246" s="6" t="n">
        <v>2</v>
      </c>
      <c r="D246" s="6" t="s">
        <v>45</v>
      </c>
      <c r="E246" s="12" t="n">
        <v>0.00030227324449</v>
      </c>
      <c r="F246" s="12" t="n">
        <v>0.000302273244490043</v>
      </c>
      <c r="G246" s="7" t="n">
        <f aca="false">IF(F246="","",IF(F246=E246,15,MIN(15,-LOG10(ABS(F246-E246)/ABS(E246)))))</f>
        <v>12.8470462427765</v>
      </c>
      <c r="H246" s="12" t="n">
        <v>2.9334354479E-006</v>
      </c>
      <c r="I246" s="12" t="n">
        <v>2.93343544792532E-006</v>
      </c>
      <c r="J246" s="7" t="n">
        <f aca="false">IF(I246="","",IF(I246=H246,15,MIN(15,-LOG10(ABS(I246-H246)/ABS(H246)))))</f>
        <v>11.0639139942952</v>
      </c>
    </row>
    <row r="247" customFormat="false" ht="15" hidden="false" customHeight="true" outlineLevel="0" collapsed="false">
      <c r="A247" s="6" t="s">
        <v>76</v>
      </c>
      <c r="B247" s="6" t="s">
        <v>55</v>
      </c>
      <c r="C247" s="6" t="n">
        <v>2</v>
      </c>
      <c r="D247" s="6" t="s">
        <v>47</v>
      </c>
      <c r="E247" s="12" t="n">
        <v>0.056419295283</v>
      </c>
      <c r="F247" s="12" t="n">
        <v>0.0564192952826461</v>
      </c>
      <c r="G247" s="7" t="n">
        <f aca="false">IF(F247="","",IF(F247=E247,15,MIN(15,-LOG10(ABS(F247-E247)/ABS(E247)))))</f>
        <v>11.202550203134</v>
      </c>
      <c r="H247" s="12"/>
      <c r="I247" s="12"/>
      <c r="J247" s="7"/>
    </row>
    <row r="248" customFormat="false" ht="15" hidden="false" customHeight="true" outlineLevel="0" collapsed="false">
      <c r="A248" s="6" t="s">
        <v>77</v>
      </c>
      <c r="B248" s="6" t="s">
        <v>43</v>
      </c>
      <c r="C248" s="6" t="n">
        <v>1</v>
      </c>
      <c r="D248" s="6" t="s">
        <v>44</v>
      </c>
      <c r="E248" s="12" t="n">
        <v>72.462237576</v>
      </c>
      <c r="F248" s="12" t="n">
        <v>72.4622375523107</v>
      </c>
      <c r="G248" s="7" t="n">
        <f aca="false">IF(F248="","",IF(F248=E248,15,MIN(15,-LOG10(ABS(F248-E248)/ABS(E248)))))</f>
        <v>9.48555932812011</v>
      </c>
      <c r="H248" s="12" t="n">
        <v>1.7340283401</v>
      </c>
      <c r="I248" s="12" t="n">
        <v>1.73402838371106</v>
      </c>
      <c r="J248" s="7" t="n">
        <f aca="false">IF(I248="","",IF(I248=H248,15,MIN(15,-LOG10(ABS(I248-H248)/ABS(H248)))))</f>
        <v>7.59945954968228</v>
      </c>
    </row>
    <row r="249" customFormat="false" ht="15" hidden="false" customHeight="true" outlineLevel="0" collapsed="false">
      <c r="A249" s="6" t="s">
        <v>77</v>
      </c>
      <c r="B249" s="6" t="s">
        <v>43</v>
      </c>
      <c r="C249" s="6" t="n">
        <v>1</v>
      </c>
      <c r="D249" s="6" t="s">
        <v>45</v>
      </c>
      <c r="E249" s="12" t="n">
        <v>2.6180768402</v>
      </c>
      <c r="F249" s="12" t="n">
        <v>2.61807684083711</v>
      </c>
      <c r="G249" s="7" t="n">
        <f aca="false">IF(F249="","",IF(F249=E249,15,MIN(15,-LOG10(ABS(F249-E249)/ABS(E249)))))</f>
        <v>9.6137680213944</v>
      </c>
      <c r="H249" s="12" t="n">
        <v>0.088295217536</v>
      </c>
      <c r="I249" s="12" t="n">
        <v>0.0882952164574335</v>
      </c>
      <c r="J249" s="7" t="n">
        <f aca="false">IF(I249="","",IF(I249=H249,15,MIN(15,-LOG10(ABS(I249-H249)/ABS(H249)))))</f>
        <v>7.91309025379606</v>
      </c>
    </row>
    <row r="250" customFormat="false" ht="15" hidden="false" customHeight="true" outlineLevel="0" collapsed="false">
      <c r="A250" s="6" t="s">
        <v>77</v>
      </c>
      <c r="B250" s="6" t="s">
        <v>43</v>
      </c>
      <c r="C250" s="6" t="n">
        <v>1</v>
      </c>
      <c r="D250" s="6" t="s">
        <v>46</v>
      </c>
      <c r="E250" s="12" t="n">
        <v>0.067359200066</v>
      </c>
      <c r="F250" s="12" t="n">
        <v>0.0673592001108008</v>
      </c>
      <c r="G250" s="7" t="n">
        <f aca="false">IF(F250="","",IF(F250=E250,15,MIN(15,-LOG10(ABS(F250-E250)/ABS(E250)))))</f>
        <v>9.17711126736503</v>
      </c>
      <c r="H250" s="12" t="n">
        <v>0.0034465663377</v>
      </c>
      <c r="I250" s="12" t="n">
        <v>0.00344656630619849</v>
      </c>
      <c r="J250" s="7" t="n">
        <f aca="false">IF(I250="","",IF(I250=H250,15,MIN(15,-LOG10(ABS(I250-H250)/ABS(H250)))))</f>
        <v>8.0390552678186</v>
      </c>
    </row>
    <row r="251" customFormat="false" ht="15" hidden="false" customHeight="true" outlineLevel="0" collapsed="false">
      <c r="A251" s="6" t="s">
        <v>77</v>
      </c>
      <c r="B251" s="6" t="s">
        <v>43</v>
      </c>
      <c r="C251" s="6" t="n">
        <v>1</v>
      </c>
      <c r="D251" s="6" t="s">
        <v>47</v>
      </c>
      <c r="E251" s="12" t="n">
        <v>8.0565229338</v>
      </c>
      <c r="F251" s="12" t="n">
        <v>8.05652293381132</v>
      </c>
      <c r="G251" s="7" t="n">
        <f aca="false">IF(F251="","",IF(F251=E251,15,MIN(15,-LOG10(ABS(F251-E251)/ABS(E251)))))</f>
        <v>11.8523416681071</v>
      </c>
      <c r="H251" s="12"/>
      <c r="I251" s="12"/>
      <c r="J251" s="7"/>
    </row>
    <row r="252" customFormat="false" ht="15" hidden="false" customHeight="true" outlineLevel="0" collapsed="false">
      <c r="A252" s="6" t="s">
        <v>77</v>
      </c>
      <c r="B252" s="6" t="s">
        <v>43</v>
      </c>
      <c r="C252" s="6" t="n">
        <v>2</v>
      </c>
      <c r="D252" s="6" t="s">
        <v>44</v>
      </c>
      <c r="E252" s="12" t="n">
        <v>72.462237576</v>
      </c>
      <c r="F252" s="12" t="n">
        <v>72.4622374153794</v>
      </c>
      <c r="G252" s="7" t="n">
        <f aca="false">IF(F252="","",IF(F252=E252,15,MIN(15,-LOG10(ABS(F252-E252)/ABS(E252)))))</f>
        <v>8.65431049326949</v>
      </c>
      <c r="H252" s="12" t="n">
        <v>1.7340283401</v>
      </c>
      <c r="I252" s="12" t="n">
        <v>1.73402864126742</v>
      </c>
      <c r="J252" s="7" t="n">
        <f aca="false">IF(I252="","",IF(I252=H252,15,MIN(15,-LOG10(ABS(I252-H252)/ABS(H252)))))</f>
        <v>6.76024820273533</v>
      </c>
    </row>
    <row r="253" customFormat="false" ht="15" hidden="false" customHeight="true" outlineLevel="0" collapsed="false">
      <c r="A253" s="6" t="s">
        <v>77</v>
      </c>
      <c r="B253" s="6" t="s">
        <v>43</v>
      </c>
      <c r="C253" s="6" t="n">
        <v>2</v>
      </c>
      <c r="D253" s="6" t="s">
        <v>45</v>
      </c>
      <c r="E253" s="12" t="n">
        <v>2.6180768402</v>
      </c>
      <c r="F253" s="12" t="n">
        <v>2.61807684452519</v>
      </c>
      <c r="G253" s="7" t="n">
        <f aca="false">IF(F253="","",IF(F253=E253,15,MIN(15,-LOG10(ABS(F253-E253)/ABS(E253)))))</f>
        <v>8.78197720028352</v>
      </c>
      <c r="H253" s="12" t="n">
        <v>0.088295217536</v>
      </c>
      <c r="I253" s="12" t="n">
        <v>0.0882952100677044</v>
      </c>
      <c r="J253" s="7" t="n">
        <f aca="false">IF(I253="","",IF(I253=H253,15,MIN(15,-LOG10(ABS(I253-H253)/ABS(H253)))))</f>
        <v>7.07271568120358</v>
      </c>
    </row>
    <row r="254" customFormat="false" ht="15" hidden="false" customHeight="true" outlineLevel="0" collapsed="false">
      <c r="A254" s="6" t="s">
        <v>77</v>
      </c>
      <c r="B254" s="6" t="s">
        <v>43</v>
      </c>
      <c r="C254" s="6" t="n">
        <v>2</v>
      </c>
      <c r="D254" s="6" t="s">
        <v>46</v>
      </c>
      <c r="E254" s="12" t="n">
        <v>0.067359200066</v>
      </c>
      <c r="F254" s="12" t="n">
        <v>0.0673592003736887</v>
      </c>
      <c r="G254" s="7" t="n">
        <f aca="false">IF(F254="","",IF(F254=E254,15,MIN(15,-LOG10(ABS(F254-E254)/ABS(E254)))))</f>
        <v>8.34028538262045</v>
      </c>
      <c r="H254" s="12" t="n">
        <v>0.0034465663377</v>
      </c>
      <c r="I254" s="12" t="n">
        <v>0.00344656612050831</v>
      </c>
      <c r="J254" s="7" t="n">
        <f aca="false">IF(I254="","",IF(I254=H254,15,MIN(15,-LOG10(ABS(I254-H254)/ABS(H254)))))</f>
        <v>7.20054343651942</v>
      </c>
    </row>
    <row r="255" customFormat="false" ht="15" hidden="false" customHeight="true" outlineLevel="0" collapsed="false">
      <c r="A255" s="6" t="s">
        <v>77</v>
      </c>
      <c r="B255" s="6" t="s">
        <v>43</v>
      </c>
      <c r="C255" s="6" t="n">
        <v>2</v>
      </c>
      <c r="D255" s="6" t="s">
        <v>47</v>
      </c>
      <c r="E255" s="12" t="n">
        <v>8.0565229338</v>
      </c>
      <c r="F255" s="12" t="n">
        <v>8.05652293381131</v>
      </c>
      <c r="G255" s="7" t="n">
        <f aca="false">IF(F255="","",IF(F255=E255,15,MIN(15,-LOG10(ABS(F255-E255)/ABS(E255)))))</f>
        <v>11.8526825853723</v>
      </c>
      <c r="H255" s="12"/>
      <c r="I255" s="12"/>
      <c r="J255" s="7"/>
    </row>
    <row r="256" customFormat="false" ht="15" hidden="false" customHeight="true" outlineLevel="0" collapsed="false">
      <c r="A256" s="6" t="s">
        <v>78</v>
      </c>
      <c r="B256" s="6" t="s">
        <v>43</v>
      </c>
      <c r="C256" s="6" t="n">
        <v>1</v>
      </c>
      <c r="D256" s="6" t="s">
        <v>44</v>
      </c>
      <c r="E256" s="12" t="n">
        <v>699.6415127</v>
      </c>
      <c r="F256" s="12" t="n">
        <v>699.641514415454</v>
      </c>
      <c r="G256" s="7" t="n">
        <f aca="false">IF(F256="","",IF(F256=E256,15,MIN(15,-LOG10(ABS(F256-E256)/ABS(E256)))))</f>
        <v>8.61049649201866</v>
      </c>
      <c r="H256" s="12" t="n">
        <v>16.302297817</v>
      </c>
      <c r="I256" s="12" t="n">
        <v>16.3022960082777</v>
      </c>
      <c r="J256" s="7" t="n">
        <f aca="false">IF(I256="","",IF(I256=H256,15,MIN(15,-LOG10(ABS(I256-H256)/ABS(H256)))))</f>
        <v>6.95487692987335</v>
      </c>
    </row>
    <row r="257" customFormat="false" ht="15" hidden="false" customHeight="true" outlineLevel="0" collapsed="false">
      <c r="A257" s="6" t="s">
        <v>78</v>
      </c>
      <c r="B257" s="6" t="s">
        <v>43</v>
      </c>
      <c r="C257" s="6" t="n">
        <v>1</v>
      </c>
      <c r="D257" s="6" t="s">
        <v>45</v>
      </c>
      <c r="E257" s="12" t="n">
        <v>5.2771253025</v>
      </c>
      <c r="F257" s="12" t="n">
        <v>5.27712513392946</v>
      </c>
      <c r="G257" s="7" t="n">
        <f aca="false">IF(F257="","",IF(F257=E257,15,MIN(15,-LOG10(ABS(F257-E257)/ABS(E257)))))</f>
        <v>7.49561572899585</v>
      </c>
      <c r="H257" s="12" t="n">
        <v>2.0828735829</v>
      </c>
      <c r="I257" s="12" t="n">
        <v>2.08287389294224</v>
      </c>
      <c r="J257" s="7" t="n">
        <f aca="false">IF(I257="","",IF(I257=H257,15,MIN(15,-LOG10(ABS(I257-H257)/ABS(H257)))))</f>
        <v>6.82724204608849</v>
      </c>
    </row>
    <row r="258" customFormat="false" ht="15" hidden="false" customHeight="true" outlineLevel="0" collapsed="false">
      <c r="A258" s="6" t="s">
        <v>78</v>
      </c>
      <c r="B258" s="6" t="s">
        <v>43</v>
      </c>
      <c r="C258" s="6" t="n">
        <v>1</v>
      </c>
      <c r="D258" s="6" t="s">
        <v>46</v>
      </c>
      <c r="E258" s="12" t="n">
        <v>0.75962938329</v>
      </c>
      <c r="F258" s="12" t="n">
        <v>0.759629363890159</v>
      </c>
      <c r="G258" s="7" t="n">
        <f aca="false">IF(F258="","",IF(F258=E258,15,MIN(15,-LOG10(ABS(F258-E258)/ABS(E258)))))</f>
        <v>7.59280358586802</v>
      </c>
      <c r="H258" s="12" t="n">
        <v>0.19566123451</v>
      </c>
      <c r="I258" s="12" t="n">
        <v>0.195661280424475</v>
      </c>
      <c r="J258" s="7" t="n">
        <f aca="false">IF(I258="","",IF(I258=H258,15,MIN(15,-LOG10(ABS(I258-H258)/ABS(H258)))))</f>
        <v>6.62955516652199</v>
      </c>
    </row>
    <row r="259" customFormat="false" ht="15" hidden="false" customHeight="true" outlineLevel="0" collapsed="false">
      <c r="A259" s="6" t="s">
        <v>78</v>
      </c>
      <c r="B259" s="6" t="s">
        <v>43</v>
      </c>
      <c r="C259" s="6" t="n">
        <v>1</v>
      </c>
      <c r="D259" s="6" t="s">
        <v>56</v>
      </c>
      <c r="E259" s="12" t="n">
        <v>1.2792483859</v>
      </c>
      <c r="F259" s="12" t="n">
        <v>1.279248343696</v>
      </c>
      <c r="G259" s="7" t="n">
        <f aca="false">IF(F259="","",IF(F259=E259,15,MIN(15,-LOG10(ABS(F259-E259)/ABS(E259)))))</f>
        <v>7.48160126484503</v>
      </c>
      <c r="H259" s="12" t="n">
        <v>0.68761936385</v>
      </c>
      <c r="I259" s="12" t="n">
        <v>0.687619486958487</v>
      </c>
      <c r="J259" s="7" t="n">
        <f aca="false">IF(I259="","",IF(I259=H259,15,MIN(15,-LOG10(ABS(I259-H259)/ABS(H259)))))</f>
        <v>6.7470601044936</v>
      </c>
    </row>
    <row r="260" customFormat="false" ht="15" hidden="false" customHeight="true" outlineLevel="0" collapsed="false">
      <c r="A260" s="6" t="s">
        <v>78</v>
      </c>
      <c r="B260" s="6" t="s">
        <v>43</v>
      </c>
      <c r="C260" s="6" t="n">
        <v>1</v>
      </c>
      <c r="D260" s="6" t="s">
        <v>47</v>
      </c>
      <c r="E260" s="12" t="n">
        <v>8786.404908</v>
      </c>
      <c r="F260" s="12" t="n">
        <v>8786.40490796317</v>
      </c>
      <c r="G260" s="7" t="n">
        <f aca="false">IF(F260="","",IF(F260=E260,15,MIN(15,-LOG10(ABS(F260-E260)/ABS(E260)))))</f>
        <v>11.3775989119309</v>
      </c>
      <c r="H260" s="12"/>
      <c r="I260" s="12"/>
      <c r="J260" s="7"/>
    </row>
    <row r="261" customFormat="false" ht="15" hidden="false" customHeight="true" outlineLevel="0" collapsed="false">
      <c r="A261" s="6" t="s">
        <v>78</v>
      </c>
      <c r="B261" s="6" t="s">
        <v>43</v>
      </c>
      <c r="C261" s="6" t="n">
        <v>2</v>
      </c>
      <c r="D261" s="6" t="s">
        <v>44</v>
      </c>
      <c r="E261" s="12" t="n">
        <v>699.6415127</v>
      </c>
      <c r="F261" s="12" t="n">
        <v>699.641516615106</v>
      </c>
      <c r="G261" s="7" t="n">
        <f aca="false">IF(F261="","",IF(F261=E261,15,MIN(15,-LOG10(ABS(F261-E261)/ABS(E261)))))</f>
        <v>8.25213205235596</v>
      </c>
      <c r="H261" s="12" t="n">
        <v>16.302297817</v>
      </c>
      <c r="I261" s="12" t="n">
        <v>16.3022940097188</v>
      </c>
      <c r="J261" s="7" t="n">
        <f aca="false">IF(I261="","",IF(I261=H261,15,MIN(15,-LOG10(ABS(I261-H261)/ABS(H261)))))</f>
        <v>6.63163386845393</v>
      </c>
    </row>
    <row r="262" customFormat="false" ht="15" hidden="false" customHeight="true" outlineLevel="0" collapsed="false">
      <c r="A262" s="6" t="s">
        <v>78</v>
      </c>
      <c r="B262" s="6" t="s">
        <v>43</v>
      </c>
      <c r="C262" s="6" t="n">
        <v>2</v>
      </c>
      <c r="D262" s="6" t="s">
        <v>45</v>
      </c>
      <c r="E262" s="12" t="n">
        <v>5.2771253025</v>
      </c>
      <c r="F262" s="12" t="n">
        <v>5.27712485432495</v>
      </c>
      <c r="G262" s="7" t="n">
        <f aca="false">IF(F262="","",IF(F262=E262,15,MIN(15,-LOG10(ABS(F262-E262)/ABS(E262)))))</f>
        <v>7.07094973082015</v>
      </c>
      <c r="H262" s="12" t="n">
        <v>2.0828735829</v>
      </c>
      <c r="I262" s="12" t="n">
        <v>2.0828741854318</v>
      </c>
      <c r="J262" s="7" t="n">
        <f aca="false">IF(I262="","",IF(I262=H262,15,MIN(15,-LOG10(ABS(I262-H262)/ABS(H262)))))</f>
        <v>6.53868293910385</v>
      </c>
    </row>
    <row r="263" customFormat="false" ht="15" hidden="false" customHeight="true" outlineLevel="0" collapsed="false">
      <c r="A263" s="6" t="s">
        <v>78</v>
      </c>
      <c r="B263" s="6" t="s">
        <v>43</v>
      </c>
      <c r="C263" s="6" t="n">
        <v>2</v>
      </c>
      <c r="D263" s="6" t="s">
        <v>46</v>
      </c>
      <c r="E263" s="12" t="n">
        <v>0.75962938329</v>
      </c>
      <c r="F263" s="12" t="n">
        <v>0.759629334110007</v>
      </c>
      <c r="G263" s="7" t="n">
        <f aca="false">IF(F263="","",IF(F263=E263,15,MIN(15,-LOG10(ABS(F263-E263)/ABS(E263)))))</f>
        <v>7.18881329307661</v>
      </c>
      <c r="H263" s="12" t="n">
        <v>0.19566123451</v>
      </c>
      <c r="I263" s="12" t="n">
        <v>0.195661324413592</v>
      </c>
      <c r="J263" s="7" t="n">
        <f aca="false">IF(I263="","",IF(I263=H263,15,MIN(15,-LOG10(ABS(I263-H263)/ABS(H263)))))</f>
        <v>6.33772774556406</v>
      </c>
    </row>
    <row r="264" customFormat="false" ht="15" hidden="false" customHeight="true" outlineLevel="0" collapsed="false">
      <c r="A264" s="6" t="s">
        <v>78</v>
      </c>
      <c r="B264" s="6" t="s">
        <v>43</v>
      </c>
      <c r="C264" s="6" t="n">
        <v>2</v>
      </c>
      <c r="D264" s="6" t="s">
        <v>56</v>
      </c>
      <c r="E264" s="12" t="n">
        <v>1.2792483859</v>
      </c>
      <c r="F264" s="12" t="n">
        <v>1.27924826628585</v>
      </c>
      <c r="G264" s="7" t="n">
        <f aca="false">IF(F264="","",IF(F264=E264,15,MIN(15,-LOG10(ABS(F264-E264)/ABS(E264)))))</f>
        <v>7.02917231952394</v>
      </c>
      <c r="H264" s="12" t="n">
        <v>0.68761936385</v>
      </c>
      <c r="I264" s="12" t="n">
        <v>0.687619592692873</v>
      </c>
      <c r="J264" s="7" t="n">
        <f aca="false">IF(I264="","",IF(I264=H264,15,MIN(15,-LOG10(ABS(I264-H264)/ABS(H264)))))</f>
        <v>6.47781070679462</v>
      </c>
    </row>
    <row r="265" customFormat="false" ht="15" hidden="false" customHeight="true" outlineLevel="0" collapsed="false">
      <c r="A265" s="6" t="s">
        <v>78</v>
      </c>
      <c r="B265" s="6" t="s">
        <v>43</v>
      </c>
      <c r="C265" s="6" t="n">
        <v>2</v>
      </c>
      <c r="D265" s="6" t="s">
        <v>47</v>
      </c>
      <c r="E265" s="12" t="n">
        <v>8786.404908</v>
      </c>
      <c r="F265" s="12" t="n">
        <v>8786.40490796326</v>
      </c>
      <c r="G265" s="7" t="n">
        <f aca="false">IF(F265="","",IF(F265=E265,15,MIN(15,-LOG10(ABS(F265-E265)/ABS(E265)))))</f>
        <v>11.378672676217</v>
      </c>
      <c r="H265" s="12"/>
      <c r="I265" s="12"/>
      <c r="J265" s="7"/>
    </row>
    <row r="266" customFormat="false" ht="15" hidden="false" customHeight="true" outlineLevel="0" collapsed="false">
      <c r="A266" s="6" t="s">
        <v>79</v>
      </c>
      <c r="B266" s="6" t="s">
        <v>55</v>
      </c>
      <c r="C266" s="6" t="n">
        <v>1</v>
      </c>
      <c r="D266" s="6" t="s">
        <v>44</v>
      </c>
      <c r="E266" s="12" t="n">
        <v>1.20196866396</v>
      </c>
      <c r="F266" s="12" t="n">
        <v>0.201968663861161</v>
      </c>
      <c r="G266" s="7" t="n">
        <f aca="false">IF(F266="","",IF(F266=E266,15,MIN(15,-LOG10(ABS(F266-E266)/ABS(E266)))))</f>
        <v>0.0798931454551986</v>
      </c>
      <c r="H266" s="12" t="n">
        <v>0.019172666023</v>
      </c>
      <c r="I266" s="12" t="n">
        <v>0.0191726660953584</v>
      </c>
      <c r="J266" s="7" t="n">
        <f aca="false">IF(I266="","",IF(I266=H266,15,MIN(15,-LOG10(ABS(I266-H266)/ABS(H266)))))</f>
        <v>8.4231935489328</v>
      </c>
    </row>
    <row r="267" customFormat="false" ht="15" hidden="false" customHeight="true" outlineLevel="0" collapsed="false">
      <c r="A267" s="6" t="s">
        <v>79</v>
      </c>
      <c r="B267" s="6" t="s">
        <v>55</v>
      </c>
      <c r="C267" s="6" t="n">
        <v>1</v>
      </c>
      <c r="D267" s="6" t="s">
        <v>45</v>
      </c>
      <c r="E267" s="12" t="n">
        <v>-6.1953516256E-006</v>
      </c>
      <c r="F267" s="12" t="n">
        <v>-6.1953516104717E-006</v>
      </c>
      <c r="G267" s="7" t="n">
        <f aca="false">IF(F267="","",IF(F267=E267,15,MIN(15,-LOG10(ABS(F267-E267)/ABS(E267)))))</f>
        <v>8.61227583748126</v>
      </c>
      <c r="H267" s="12" t="n">
        <v>3.2058931691E-006</v>
      </c>
      <c r="I267" s="12" t="n">
        <v>3.20589318251728E-006</v>
      </c>
      <c r="J267" s="7" t="n">
        <f aca="false">IF(I267="","",IF(I267=H267,15,MIN(15,-LOG10(ABS(I267-H267)/ABS(H267)))))</f>
        <v>8.37828455878261</v>
      </c>
    </row>
    <row r="268" customFormat="false" ht="15" hidden="false" customHeight="true" outlineLevel="0" collapsed="false">
      <c r="A268" s="6" t="s">
        <v>79</v>
      </c>
      <c r="B268" s="6" t="s">
        <v>55</v>
      </c>
      <c r="C268" s="6" t="n">
        <v>1</v>
      </c>
      <c r="D268" s="6" t="s">
        <v>46</v>
      </c>
      <c r="E268" s="12" t="n">
        <v>1204.4556708</v>
      </c>
      <c r="F268" s="12" t="n">
        <v>1204.45567119774</v>
      </c>
      <c r="G268" s="7" t="n">
        <f aca="false">IF(F268="","",IF(F268=E268,15,MIN(15,-LOG10(ABS(F268-E268)/ABS(E268)))))</f>
        <v>9.48119155610232</v>
      </c>
      <c r="H268" s="12" t="n">
        <v>74.050983057</v>
      </c>
      <c r="I268" s="12" t="n">
        <v>74.0509827192421</v>
      </c>
      <c r="J268" s="7" t="n">
        <f aca="false">IF(I268="","",IF(I268=H268,15,MIN(15,-LOG10(ABS(I268-H268)/ABS(H268)))))</f>
        <v>8.34092531730744</v>
      </c>
    </row>
    <row r="269" customFormat="false" ht="15" hidden="false" customHeight="true" outlineLevel="0" collapsed="false">
      <c r="A269" s="6" t="s">
        <v>79</v>
      </c>
      <c r="B269" s="6" t="s">
        <v>55</v>
      </c>
      <c r="C269" s="6" t="n">
        <v>1</v>
      </c>
      <c r="D269" s="6" t="s">
        <v>56</v>
      </c>
      <c r="E269" s="12" t="n">
        <v>-181.34269537</v>
      </c>
      <c r="F269" s="12" t="n">
        <v>-181.342695584511</v>
      </c>
      <c r="G269" s="7" t="n">
        <f aca="false">IF(F269="","",IF(F269=E269,15,MIN(15,-LOG10(ABS(F269-E269)/ABS(E269)))))</f>
        <v>8.92705048993456</v>
      </c>
      <c r="H269" s="12" t="n">
        <v>49.573513849</v>
      </c>
      <c r="I269" s="12" t="n">
        <v>49.5735152634244</v>
      </c>
      <c r="J269" s="7" t="n">
        <f aca="false">IF(I269="","",IF(I269=H269,15,MIN(15,-LOG10(ABS(I269-H269)/ABS(H269)))))</f>
        <v>7.54466996494418</v>
      </c>
    </row>
    <row r="270" customFormat="false" ht="15" hidden="false" customHeight="true" outlineLevel="0" collapsed="false">
      <c r="A270" s="6" t="s">
        <v>79</v>
      </c>
      <c r="B270" s="6" t="s">
        <v>55</v>
      </c>
      <c r="C270" s="6" t="n">
        <v>1</v>
      </c>
      <c r="D270" s="6" t="s">
        <v>47</v>
      </c>
      <c r="E270" s="12" t="n">
        <v>0.00049484847331</v>
      </c>
      <c r="F270" s="12" t="n">
        <v>0.000494848473309688</v>
      </c>
      <c r="G270" s="7" t="n">
        <f aca="false">IF(F270="","",IF(F270=E270,15,MIN(15,-LOG10(ABS(F270-E270)/ABS(E270)))))</f>
        <v>12.2002711719625</v>
      </c>
      <c r="H270" s="12"/>
      <c r="I270" s="12"/>
      <c r="J270" s="7"/>
    </row>
    <row r="271" customFormat="false" ht="15" hidden="false" customHeight="true" outlineLevel="0" collapsed="false">
      <c r="A271" s="6" t="s">
        <v>79</v>
      </c>
      <c r="B271" s="6" t="s">
        <v>55</v>
      </c>
      <c r="C271" s="6" t="n">
        <v>2</v>
      </c>
      <c r="D271" s="6" t="s">
        <v>44</v>
      </c>
      <c r="E271" s="12" t="n">
        <v>1.20196866396</v>
      </c>
      <c r="F271" s="12" t="n">
        <v>0.201968663863301</v>
      </c>
      <c r="G271" s="7" t="n">
        <f aca="false">IF(F271="","",IF(F271=E271,15,MIN(15,-LOG10(ABS(F271-E271)/ABS(E271)))))</f>
        <v>0.079893145456128</v>
      </c>
      <c r="H271" s="12" t="n">
        <v>0.019172666023</v>
      </c>
      <c r="I271" s="12" t="n">
        <v>0.0191726660247743</v>
      </c>
      <c r="J271" s="7" t="n">
        <f aca="false">IF(I271="","",IF(I271=H271,15,MIN(15,-LOG10(ABS(I271-H271)/ABS(H271)))))</f>
        <v>10.0336555874449</v>
      </c>
    </row>
    <row r="272" customFormat="false" ht="15" hidden="false" customHeight="true" outlineLevel="0" collapsed="false">
      <c r="A272" s="6" t="s">
        <v>79</v>
      </c>
      <c r="B272" s="6" t="s">
        <v>55</v>
      </c>
      <c r="C272" s="6" t="n">
        <v>2</v>
      </c>
      <c r="D272" s="6" t="s">
        <v>45</v>
      </c>
      <c r="E272" s="12" t="n">
        <v>-6.1953516256E-006</v>
      </c>
      <c r="F272" s="12" t="n">
        <v>-6.19535161079528E-006</v>
      </c>
      <c r="G272" s="7" t="n">
        <f aca="false">IF(F272="","",IF(F272=E272,15,MIN(15,-LOG10(ABS(F272-E272)/ABS(E272)))))</f>
        <v>8.62166574691595</v>
      </c>
      <c r="H272" s="12" t="n">
        <v>3.2058931691E-006</v>
      </c>
      <c r="I272" s="12" t="n">
        <v>3.20589316948384E-006</v>
      </c>
      <c r="J272" s="7" t="n">
        <f aca="false">IF(I272="","",IF(I272=H272,15,MIN(15,-LOG10(ABS(I272-H272)/ABS(H272)))))</f>
        <v>9.9217990912358</v>
      </c>
    </row>
    <row r="273" customFormat="false" ht="15" hidden="false" customHeight="true" outlineLevel="0" collapsed="false">
      <c r="A273" s="6" t="s">
        <v>79</v>
      </c>
      <c r="B273" s="6" t="s">
        <v>55</v>
      </c>
      <c r="C273" s="6" t="n">
        <v>2</v>
      </c>
      <c r="D273" s="6" t="s">
        <v>46</v>
      </c>
      <c r="E273" s="12" t="n">
        <v>1204.4556708</v>
      </c>
      <c r="F273" s="12" t="n">
        <v>1204.45567118883</v>
      </c>
      <c r="G273" s="7" t="n">
        <f aca="false">IF(F273="","",IF(F273=E273,15,MIN(15,-LOG10(ABS(F273-E273)/ABS(E273)))))</f>
        <v>9.4910311632778</v>
      </c>
      <c r="H273" s="12" t="n">
        <v>74.050983057</v>
      </c>
      <c r="I273" s="12" t="n">
        <v>74.0509830480656</v>
      </c>
      <c r="J273" s="7" t="n">
        <f aca="false">IF(I273="","",IF(I273=H273,15,MIN(15,-LOG10(ABS(I273-H273)/ABS(H273)))))</f>
        <v>9.91846578696352</v>
      </c>
    </row>
    <row r="274" customFormat="false" ht="15" hidden="false" customHeight="true" outlineLevel="0" collapsed="false">
      <c r="A274" s="6" t="s">
        <v>79</v>
      </c>
      <c r="B274" s="6" t="s">
        <v>55</v>
      </c>
      <c r="C274" s="6" t="n">
        <v>2</v>
      </c>
      <c r="D274" s="6" t="s">
        <v>56</v>
      </c>
      <c r="E274" s="12" t="n">
        <v>-181.34269537</v>
      </c>
      <c r="F274" s="12" t="n">
        <v>-181.342695579902</v>
      </c>
      <c r="G274" s="7" t="n">
        <f aca="false">IF(F274="","",IF(F274=E274,15,MIN(15,-LOG10(ABS(F274-E274)/ABS(E274)))))</f>
        <v>8.93648349399326</v>
      </c>
      <c r="H274" s="12" t="n">
        <v>49.573513849</v>
      </c>
      <c r="I274" s="12" t="n">
        <v>49.5735138869241</v>
      </c>
      <c r="J274" s="7" t="n">
        <f aca="false">IF(I274="","",IF(I274=H274,15,MIN(15,-LOG10(ABS(I274-H274)/ABS(H274)))))</f>
        <v>9.11633446777001</v>
      </c>
    </row>
    <row r="275" customFormat="false" ht="15" hidden="false" customHeight="true" outlineLevel="0" collapsed="false">
      <c r="A275" s="6" t="s">
        <v>79</v>
      </c>
      <c r="B275" s="6" t="s">
        <v>55</v>
      </c>
      <c r="C275" s="6" t="n">
        <v>2</v>
      </c>
      <c r="D275" s="6" t="s">
        <v>47</v>
      </c>
      <c r="E275" s="12" t="n">
        <v>0.00049484847331</v>
      </c>
      <c r="F275" s="12" t="n">
        <v>0.000494848473309689</v>
      </c>
      <c r="G275" s="7" t="n">
        <f aca="false">IF(F275="","",IF(F275=E275,15,MIN(15,-LOG10(ABS(F275-E275)/ABS(E275)))))</f>
        <v>12.2016314133171</v>
      </c>
      <c r="H275" s="12"/>
      <c r="I275" s="12"/>
      <c r="J275" s="7"/>
    </row>
    <row r="276" customFormat="false" ht="15" hidden="false" customHeight="true" outlineLevel="0" collapsed="false">
      <c r="A276" s="6" t="s">
        <v>80</v>
      </c>
      <c r="B276" s="6" t="s">
        <v>43</v>
      </c>
      <c r="C276" s="6" t="n">
        <v>1</v>
      </c>
      <c r="D276" s="6" t="s">
        <v>44</v>
      </c>
      <c r="E276" s="12" t="n">
        <v>1288.13968</v>
      </c>
      <c r="F276" s="12" t="n">
        <v>1288.13967968845</v>
      </c>
      <c r="G276" s="7" t="n">
        <f aca="false">IF(F276="","",IF(F276=E276,15,MIN(15,-LOG10(ABS(F276-E276)/ABS(E276)))))</f>
        <v>9.61643532668369</v>
      </c>
      <c r="H276" s="12" t="n">
        <v>4.6647963344</v>
      </c>
      <c r="I276" s="12" t="n">
        <v>4.66479638732873</v>
      </c>
      <c r="J276" s="7" t="n">
        <f aca="false">IF(I276="","",IF(I276=H276,15,MIN(15,-LOG10(ABS(I276-H276)/ABS(H276)))))</f>
        <v>7.94514121500474</v>
      </c>
    </row>
    <row r="277" customFormat="false" ht="15" hidden="false" customHeight="true" outlineLevel="0" collapsed="false">
      <c r="A277" s="6" t="s">
        <v>80</v>
      </c>
      <c r="B277" s="6" t="s">
        <v>43</v>
      </c>
      <c r="C277" s="6" t="n">
        <v>1</v>
      </c>
      <c r="D277" s="6" t="s">
        <v>45</v>
      </c>
      <c r="E277" s="12" t="n">
        <v>1491.0792535</v>
      </c>
      <c r="F277" s="12" t="n">
        <v>1491.07930204968</v>
      </c>
      <c r="G277" s="7" t="n">
        <f aca="false">IF(F277="","",IF(F277=E277,15,MIN(15,-LOG10(ABS(F277-E277)/ABS(E277)))))</f>
        <v>7.48731435531854</v>
      </c>
      <c r="H277" s="12" t="n">
        <v>39.571156086</v>
      </c>
      <c r="I277" s="12" t="n">
        <v>39.5712058714831</v>
      </c>
      <c r="J277" s="7" t="n">
        <f aca="false">IF(I277="","",IF(I277=H277,15,MIN(15,-LOG10(ABS(I277-H277)/ABS(H277)))))</f>
        <v>5.90027601281036</v>
      </c>
    </row>
    <row r="278" customFormat="false" ht="15" hidden="false" customHeight="true" outlineLevel="0" collapsed="false">
      <c r="A278" s="6" t="s">
        <v>80</v>
      </c>
      <c r="B278" s="6" t="s">
        <v>43</v>
      </c>
      <c r="C278" s="6" t="n">
        <v>1</v>
      </c>
      <c r="D278" s="6" t="s">
        <v>46</v>
      </c>
      <c r="E278" s="12" t="n">
        <v>583.23836877</v>
      </c>
      <c r="F278" s="12" t="n">
        <v>583.238402617051</v>
      </c>
      <c r="G278" s="7" t="n">
        <f aca="false">IF(F278="","",IF(F278=E278,15,MIN(15,-LOG10(ABS(F278-E278)/ABS(E278)))))</f>
        <v>7.2363252510237</v>
      </c>
      <c r="H278" s="12" t="n">
        <v>28.698696102</v>
      </c>
      <c r="I278" s="12" t="n">
        <v>28.6987321366236</v>
      </c>
      <c r="J278" s="7" t="n">
        <f aca="false">IF(I278="","",IF(I278=H278,15,MIN(15,-LOG10(ABS(I278-H278)/ABS(H278)))))</f>
        <v>5.9011421754152</v>
      </c>
    </row>
    <row r="279" customFormat="false" ht="15" hidden="false" customHeight="true" outlineLevel="0" collapsed="false">
      <c r="A279" s="6" t="s">
        <v>80</v>
      </c>
      <c r="B279" s="6" t="s">
        <v>43</v>
      </c>
      <c r="C279" s="6" t="n">
        <v>1</v>
      </c>
      <c r="D279" s="6" t="s">
        <v>56</v>
      </c>
      <c r="E279" s="12" t="n">
        <v>75.416644291</v>
      </c>
      <c r="F279" s="12" t="n">
        <v>75.4166509081193</v>
      </c>
      <c r="G279" s="7" t="n">
        <f aca="false">IF(F279="","",IF(F279=E279,15,MIN(15,-LOG10(ABS(F279-E279)/ABS(E279)))))</f>
        <v>7.05679823989884</v>
      </c>
      <c r="H279" s="12" t="n">
        <v>5.567537027</v>
      </c>
      <c r="I279" s="12" t="n">
        <v>5.56754420024333</v>
      </c>
      <c r="J279" s="7" t="n">
        <f aca="false">IF(I279="","",IF(I279=H279,15,MIN(15,-LOG10(ABS(I279-H279)/ABS(H279)))))</f>
        <v>5.88994755082219</v>
      </c>
    </row>
    <row r="280" customFormat="false" ht="15" hidden="false" customHeight="true" outlineLevel="0" collapsed="false">
      <c r="A280" s="6" t="s">
        <v>80</v>
      </c>
      <c r="B280" s="6" t="s">
        <v>43</v>
      </c>
      <c r="C280" s="6" t="n">
        <v>1</v>
      </c>
      <c r="D280" s="6" t="s">
        <v>57</v>
      </c>
      <c r="E280" s="12" t="n">
        <v>0.96629502864</v>
      </c>
      <c r="F280" s="12" t="n">
        <v>0.966295061337985</v>
      </c>
      <c r="G280" s="7" t="n">
        <f aca="false">IF(F280="","",IF(F280=E280,15,MIN(15,-LOG10(ABS(F280-E280)/ABS(E280)))))</f>
        <v>7.47058875512016</v>
      </c>
      <c r="H280" s="12" t="n">
        <v>0.031333340687</v>
      </c>
      <c r="I280" s="12" t="n">
        <v>0.0313333745166985</v>
      </c>
      <c r="J280" s="7" t="n">
        <f aca="false">IF(I280="","",IF(I280=H280,15,MIN(15,-LOG10(ABS(I280-H280)/ABS(H280)))))</f>
        <v>5.96670857354635</v>
      </c>
    </row>
    <row r="281" customFormat="false" ht="15" hidden="false" customHeight="true" outlineLevel="0" collapsed="false">
      <c r="A281" s="6" t="s">
        <v>80</v>
      </c>
      <c r="B281" s="6" t="s">
        <v>43</v>
      </c>
      <c r="C281" s="6" t="n">
        <v>1</v>
      </c>
      <c r="D281" s="6" t="s">
        <v>58</v>
      </c>
      <c r="E281" s="12" t="n">
        <v>0.39797285797</v>
      </c>
      <c r="F281" s="12" t="n">
        <v>0.397972872878894</v>
      </c>
      <c r="G281" s="7" t="n">
        <f aca="false">IF(F281="","",IF(F281=E281,15,MIN(15,-LOG10(ABS(F281-E281)/ABS(E281)))))</f>
        <v>7.42640802666666</v>
      </c>
      <c r="H281" s="12" t="n">
        <v>0.014984928198</v>
      </c>
      <c r="I281" s="12" t="n">
        <v>0.0149849444570192</v>
      </c>
      <c r="J281" s="7" t="n">
        <f aca="false">IF(I281="","",IF(I281=H281,15,MIN(15,-LOG10(ABS(I281-H281)/ABS(H281)))))</f>
        <v>5.96456032239295</v>
      </c>
    </row>
    <row r="282" customFormat="false" ht="15" hidden="false" customHeight="true" outlineLevel="0" collapsed="false">
      <c r="A282" s="6" t="s">
        <v>80</v>
      </c>
      <c r="B282" s="6" t="s">
        <v>43</v>
      </c>
      <c r="C282" s="6" t="n">
        <v>1</v>
      </c>
      <c r="D282" s="6" t="s">
        <v>59</v>
      </c>
      <c r="E282" s="12" t="n">
        <v>0.049727297349</v>
      </c>
      <c r="F282" s="12" t="n">
        <v>0.0497273070933792</v>
      </c>
      <c r="G282" s="7" t="n">
        <f aca="false">IF(F282="","",IF(F282=E282,15,MIN(15,-LOG10(ABS(F282-E282)/ABS(E282)))))</f>
        <v>6.7078406801624</v>
      </c>
      <c r="H282" s="12" t="n">
        <v>0.0065842344623</v>
      </c>
      <c r="I282" s="12" t="n">
        <v>0.0065842429500087</v>
      </c>
      <c r="J282" s="7" t="n">
        <f aca="false">IF(I282="","",IF(I282=H282,15,MIN(15,-LOG10(ABS(I282-H282)/ABS(H282)))))</f>
        <v>5.88971482148971</v>
      </c>
    </row>
    <row r="283" customFormat="false" ht="15" hidden="false" customHeight="true" outlineLevel="0" collapsed="false">
      <c r="A283" s="6" t="s">
        <v>80</v>
      </c>
      <c r="B283" s="6" t="s">
        <v>43</v>
      </c>
      <c r="C283" s="6" t="n">
        <v>1</v>
      </c>
      <c r="D283" s="6" t="s">
        <v>47</v>
      </c>
      <c r="E283" s="12" t="n">
        <v>5642.7082397</v>
      </c>
      <c r="F283" s="12" t="n">
        <v>5642.70823966768</v>
      </c>
      <c r="G283" s="7" t="n">
        <f aca="false">IF(F283="","",IF(F283=E283,15,MIN(15,-LOG10(ABS(F283-E283)/ABS(E283)))))</f>
        <v>11.2420066596139</v>
      </c>
      <c r="H283" s="12"/>
      <c r="I283" s="12"/>
      <c r="J283" s="7"/>
    </row>
    <row r="284" customFormat="false" ht="15" hidden="false" customHeight="true" outlineLevel="0" collapsed="false">
      <c r="A284" s="6" t="s">
        <v>80</v>
      </c>
      <c r="B284" s="6" t="s">
        <v>43</v>
      </c>
      <c r="C284" s="6" t="n">
        <v>2</v>
      </c>
      <c r="D284" s="6" t="s">
        <v>44</v>
      </c>
      <c r="E284" s="12" t="n">
        <v>1288.13968</v>
      </c>
      <c r="F284" s="12" t="n">
        <v>1288.13967960352</v>
      </c>
      <c r="G284" s="7" t="n">
        <f aca="false">IF(F284="","",IF(F284=E284,15,MIN(15,-LOG10(ABS(F284-E284)/ABS(E284)))))</f>
        <v>9.51174179352543</v>
      </c>
      <c r="H284" s="12" t="n">
        <v>4.6647963344</v>
      </c>
      <c r="I284" s="12" t="n">
        <v>4.66479640428525</v>
      </c>
      <c r="J284" s="7" t="n">
        <f aca="false">IF(I284="","",IF(I284=H284,15,MIN(15,-LOG10(ABS(I284-H284)/ABS(H284)))))</f>
        <v>7.8244471666038</v>
      </c>
    </row>
    <row r="285" customFormat="false" ht="15" hidden="false" customHeight="true" outlineLevel="0" collapsed="false">
      <c r="A285" s="6" t="s">
        <v>80</v>
      </c>
      <c r="B285" s="6" t="s">
        <v>43</v>
      </c>
      <c r="C285" s="6" t="n">
        <v>2</v>
      </c>
      <c r="D285" s="6" t="s">
        <v>45</v>
      </c>
      <c r="E285" s="12" t="n">
        <v>1491.0792535</v>
      </c>
      <c r="F285" s="12" t="n">
        <v>1491.07931757669</v>
      </c>
      <c r="G285" s="7" t="n">
        <f aca="false">IF(F285="","",IF(F285=E285,15,MIN(15,-LOG10(ABS(F285-E285)/ABS(E285)))))</f>
        <v>7.36680065805818</v>
      </c>
      <c r="H285" s="12" t="n">
        <v>39.571156086</v>
      </c>
      <c r="I285" s="12" t="n">
        <v>39.5712218077419</v>
      </c>
      <c r="J285" s="7" t="n">
        <f aca="false">IF(I285="","",IF(I285=H285,15,MIN(15,-LOG10(ABS(I285-H285)/ABS(H285)))))</f>
        <v>5.77966967301294</v>
      </c>
    </row>
    <row r="286" customFormat="false" ht="15" hidden="false" customHeight="true" outlineLevel="0" collapsed="false">
      <c r="A286" s="6" t="s">
        <v>80</v>
      </c>
      <c r="B286" s="6" t="s">
        <v>43</v>
      </c>
      <c r="C286" s="6" t="n">
        <v>2</v>
      </c>
      <c r="D286" s="6" t="s">
        <v>46</v>
      </c>
      <c r="E286" s="12" t="n">
        <v>583.23836877</v>
      </c>
      <c r="F286" s="12" t="n">
        <v>583.238413452407</v>
      </c>
      <c r="G286" s="7" t="n">
        <f aca="false">IF(F286="","",IF(F286=E286,15,MIN(15,-LOG10(ABS(F286-E286)/ABS(E286)))))</f>
        <v>7.11570952588705</v>
      </c>
      <c r="H286" s="12" t="n">
        <v>28.698696102</v>
      </c>
      <c r="I286" s="12" t="n">
        <v>28.6987436713591</v>
      </c>
      <c r="J286" s="7" t="n">
        <f aca="false">IF(I286="","",IF(I286=H286,15,MIN(15,-LOG10(ABS(I286-H286)/ABS(H286)))))</f>
        <v>5.78053486519107</v>
      </c>
    </row>
    <row r="287" customFormat="false" ht="15" hidden="false" customHeight="true" outlineLevel="0" collapsed="false">
      <c r="A287" s="6" t="s">
        <v>80</v>
      </c>
      <c r="B287" s="6" t="s">
        <v>43</v>
      </c>
      <c r="C287" s="6" t="n">
        <v>2</v>
      </c>
      <c r="D287" s="6" t="s">
        <v>56</v>
      </c>
      <c r="E287" s="12" t="n">
        <v>75.416644291</v>
      </c>
      <c r="F287" s="12" t="n">
        <v>75.4166530262258</v>
      </c>
      <c r="G287" s="7" t="n">
        <f aca="false">IF(F287="","",IF(F287=E287,15,MIN(15,-LOG10(ABS(F287-E287)/ABS(E287)))))</f>
        <v>6.93619306836216</v>
      </c>
      <c r="H287" s="12" t="n">
        <v>5.567537027</v>
      </c>
      <c r="I287" s="12" t="n">
        <v>5.56754649637159</v>
      </c>
      <c r="J287" s="7" t="n">
        <f aca="false">IF(I287="","",IF(I287=H287,15,MIN(15,-LOG10(ABS(I287-H287)/ABS(H287)))))</f>
        <v>5.7693419548544</v>
      </c>
    </row>
    <row r="288" customFormat="false" ht="15" hidden="false" customHeight="true" outlineLevel="0" collapsed="false">
      <c r="A288" s="6" t="s">
        <v>80</v>
      </c>
      <c r="B288" s="6" t="s">
        <v>43</v>
      </c>
      <c r="C288" s="6" t="n">
        <v>2</v>
      </c>
      <c r="D288" s="6" t="s">
        <v>57</v>
      </c>
      <c r="E288" s="12" t="n">
        <v>0.96629502864</v>
      </c>
      <c r="F288" s="12" t="n">
        <v>0.966295071802989</v>
      </c>
      <c r="G288" s="7" t="n">
        <f aca="false">IF(F288="","",IF(F288=E288,15,MIN(15,-LOG10(ABS(F288-E288)/ABS(E288)))))</f>
        <v>7.34999823402403</v>
      </c>
      <c r="H288" s="12" t="n">
        <v>0.031333340687</v>
      </c>
      <c r="I288" s="12" t="n">
        <v>0.0313333853454935</v>
      </c>
      <c r="J288" s="7" t="n">
        <f aca="false">IF(I288="","",IF(I288=H288,15,MIN(15,-LOG10(ABS(I288-H288)/ABS(H288)))))</f>
        <v>5.84610263221497</v>
      </c>
    </row>
    <row r="289" customFormat="false" ht="15" hidden="false" customHeight="true" outlineLevel="0" collapsed="false">
      <c r="A289" s="6" t="s">
        <v>80</v>
      </c>
      <c r="B289" s="6" t="s">
        <v>43</v>
      </c>
      <c r="C289" s="6" t="n">
        <v>2</v>
      </c>
      <c r="D289" s="6" t="s">
        <v>58</v>
      </c>
      <c r="E289" s="12" t="n">
        <v>0.39797285797</v>
      </c>
      <c r="F289" s="12" t="n">
        <v>0.397972877649915</v>
      </c>
      <c r="G289" s="7" t="n">
        <f aca="false">IF(F289="","",IF(F289=E289,15,MIN(15,-LOG10(ABS(F289-E289)/ABS(E289)))))</f>
        <v>7.3058302348831</v>
      </c>
      <c r="H289" s="12" t="n">
        <v>0.014984928198</v>
      </c>
      <c r="I289" s="12" t="n">
        <v>0.014984949661584</v>
      </c>
      <c r="J289" s="7" t="n">
        <f aca="false">IF(I289="","",IF(I289=H289,15,MIN(15,-LOG10(ABS(I289-H289)/ABS(H289)))))</f>
        <v>5.84395242391155</v>
      </c>
    </row>
    <row r="290" customFormat="false" ht="15" hidden="false" customHeight="true" outlineLevel="0" collapsed="false">
      <c r="A290" s="6" t="s">
        <v>80</v>
      </c>
      <c r="B290" s="6" t="s">
        <v>43</v>
      </c>
      <c r="C290" s="6" t="n">
        <v>2</v>
      </c>
      <c r="D290" s="6" t="s">
        <v>59</v>
      </c>
      <c r="E290" s="12" t="n">
        <v>0.049727297349</v>
      </c>
      <c r="F290" s="12" t="n">
        <v>0.0497273102125551</v>
      </c>
      <c r="G290" s="7" t="n">
        <f aca="false">IF(F290="","",IF(F290=E290,15,MIN(15,-LOG10(ABS(F290-E290)/ABS(E290)))))</f>
        <v>6.58723384498815</v>
      </c>
      <c r="H290" s="12" t="n">
        <v>0.0065842344623</v>
      </c>
      <c r="I290" s="12" t="n">
        <v>0.00658424566688876</v>
      </c>
      <c r="J290" s="7" t="n">
        <f aca="false">IF(I290="","",IF(I290=H290,15,MIN(15,-LOG10(ABS(I290-H290)/ABS(H290)))))</f>
        <v>5.76910936621276</v>
      </c>
    </row>
    <row r="291" customFormat="false" ht="15" hidden="false" customHeight="true" outlineLevel="0" collapsed="false">
      <c r="A291" s="6" t="s">
        <v>80</v>
      </c>
      <c r="B291" s="6" t="s">
        <v>43</v>
      </c>
      <c r="C291" s="6" t="n">
        <v>2</v>
      </c>
      <c r="D291" s="6" t="s">
        <v>47</v>
      </c>
      <c r="E291" s="12" t="n">
        <v>5642.7082397</v>
      </c>
      <c r="F291" s="12" t="n">
        <v>5642.70823966836</v>
      </c>
      <c r="G291" s="7" t="n">
        <f aca="false">IF(F291="","",IF(F291=E291,15,MIN(15,-LOG10(ABS(F291-E291)/ABS(E291)))))</f>
        <v>11.2512454766458</v>
      </c>
      <c r="H291" s="12"/>
      <c r="I291" s="12"/>
      <c r="J29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4" min="3" style="1" width="22"/>
    <col collapsed="false" customWidth="true" hidden="false" outlineLevel="0" max="5" min="5" style="1" width="8"/>
    <col collapsed="false" customWidth="true" hidden="false" outlineLevel="0" max="7" min="6" style="1" width="22"/>
    <col collapsed="false" customWidth="true" hidden="false" outlineLevel="0" max="8" min="8" style="1" width="8"/>
  </cols>
  <sheetData>
    <row r="1" customFormat="false" ht="17.25" hidden="false" customHeight="true" outlineLevel="0" collapsed="false">
      <c r="A1" s="2" t="s">
        <v>81</v>
      </c>
    </row>
    <row r="2" customFormat="false" ht="15" hidden="false" customHeight="true" outlineLevel="0" collapsed="false">
      <c r="A2" s="3" t="s">
        <v>82</v>
      </c>
    </row>
    <row r="3" customFormat="false" ht="15" hidden="false" customHeight="true" outlineLevel="0" collapsed="false">
      <c r="A3" s="3" t="s">
        <v>83</v>
      </c>
    </row>
    <row r="5" customFormat="false" ht="30" hidden="false" customHeight="true" outlineLevel="0" collapsed="false">
      <c r="A5" s="4" t="s">
        <v>84</v>
      </c>
      <c r="B5" s="4" t="s">
        <v>35</v>
      </c>
      <c r="C5" s="4" t="s">
        <v>3</v>
      </c>
      <c r="D5" s="4" t="s">
        <v>37</v>
      </c>
      <c r="E5" s="4" t="s">
        <v>38</v>
      </c>
      <c r="F5" s="4" t="s">
        <v>85</v>
      </c>
      <c r="G5" s="4" t="s">
        <v>40</v>
      </c>
      <c r="H5" s="4" t="s">
        <v>41</v>
      </c>
    </row>
    <row r="6" customFormat="false" ht="15" hidden="false" customHeight="true" outlineLevel="0" collapsed="false">
      <c r="A6" s="6" t="s">
        <v>86</v>
      </c>
      <c r="B6" s="6" t="s">
        <v>87</v>
      </c>
      <c r="C6" s="12" t="n">
        <v>212.683742959805</v>
      </c>
      <c r="D6" s="12" t="n">
        <v>212.683742875177</v>
      </c>
      <c r="E6" s="7" t="n">
        <f aca="false">IF(D6="","",IF(D6=C6,15,MIN(15,-LOG10(ABS(D6-C6)/ABS(C6)))))</f>
        <v>9.40022022334795</v>
      </c>
      <c r="F6" s="12" t="n">
        <v>6.94715515234193</v>
      </c>
      <c r="G6" s="12" t="n">
        <v>6.94715500825791</v>
      </c>
      <c r="H6" s="7" t="n">
        <f aca="false">IF(G6="","",IF(G6=F6,15,MIN(15,-LOG10(ABS(G6-F6)/ABS(F6)))))</f>
        <v>7.68319118307381</v>
      </c>
    </row>
    <row r="7" customFormat="false" ht="15" hidden="false" customHeight="true" outlineLevel="0" collapsed="false">
      <c r="A7" s="6" t="s">
        <v>86</v>
      </c>
      <c r="B7" s="6" t="s">
        <v>88</v>
      </c>
      <c r="C7" s="12" t="n">
        <v>0.064121281462283</v>
      </c>
      <c r="D7" s="12" t="n">
        <v>0.0641212812650241</v>
      </c>
      <c r="E7" s="7" t="n">
        <f aca="false">IF(D7="","",IF(D7=C7,15,MIN(15,-LOG10(ABS(D7-C7)/ABS(C7)))))</f>
        <v>8.51196557810227</v>
      </c>
      <c r="F7" s="12" t="n">
        <v>0.00828094947667354</v>
      </c>
      <c r="G7" s="12" t="n">
        <v>0.00828094903632904</v>
      </c>
      <c r="H7" s="7" t="n">
        <f aca="false">IF(G7="","",IF(G7=F7,15,MIN(15,-LOG10(ABS(G7-F7)/ABS(F7)))))</f>
        <v>7.27428755823446</v>
      </c>
    </row>
    <row r="8" customFormat="false" ht="15" hidden="false" customHeight="true" outlineLevel="0" collapsed="false">
      <c r="A8" s="6" t="s">
        <v>86</v>
      </c>
      <c r="B8" s="6" t="s">
        <v>47</v>
      </c>
      <c r="C8" s="12" t="n">
        <v>1195.44881443936</v>
      </c>
      <c r="D8" s="12" t="n">
        <v>1195.44881443936</v>
      </c>
      <c r="E8" s="7" t="n">
        <f aca="false">IF(D8="","",IF(D8=C8,15,MIN(15,-LOG10(ABS(D8-C8)/ABS(C8)))))</f>
        <v>15</v>
      </c>
      <c r="F8" s="12"/>
      <c r="G8" s="12"/>
      <c r="H8" s="7"/>
    </row>
    <row r="9" customFormat="false" ht="15" hidden="false" customHeight="true" outlineLevel="0" collapsed="false">
      <c r="A9" s="6" t="s">
        <v>89</v>
      </c>
      <c r="B9" s="6" t="s">
        <v>87</v>
      </c>
      <c r="C9" s="12" t="n">
        <v>160.28004637733</v>
      </c>
      <c r="D9" s="12" t="n">
        <v>160.280048371609</v>
      </c>
      <c r="E9" s="7" t="n">
        <f aca="false">IF(D9="","",IF(D9=C9,15,MIN(15,-LOG10(ABS(D9-C9)/ABS(C9)))))</f>
        <v>7.90509353951358</v>
      </c>
      <c r="F9" s="12" t="n">
        <v>6.48024551750095</v>
      </c>
      <c r="G9" s="12" t="n">
        <v>6.48024653886395</v>
      </c>
      <c r="H9" s="7" t="n">
        <f aca="false">IF(G9="","",IF(G9=F9,15,MIN(15,-LOG10(ABS(G9-F9)/ABS(F9)))))</f>
        <v>6.80241133914938</v>
      </c>
    </row>
    <row r="10" customFormat="false" ht="15" hidden="false" customHeight="true" outlineLevel="0" collapsed="false">
      <c r="A10" s="6" t="s">
        <v>89</v>
      </c>
      <c r="B10" s="6" t="s">
        <v>88</v>
      </c>
      <c r="C10" s="12" t="n">
        <v>0.0477081847896169</v>
      </c>
      <c r="D10" s="12" t="n">
        <v>0.0477081878896655</v>
      </c>
      <c r="E10" s="7" t="n">
        <f aca="false">IF(D10="","",IF(D10=C10,15,MIN(15,-LOG10(ABS(D10-C10)/ABS(C10)))))</f>
        <v>7.18722439038629</v>
      </c>
      <c r="F10" s="12" t="n">
        <v>0.00778187527839538</v>
      </c>
      <c r="G10" s="12" t="n">
        <v>0.00778187825686976</v>
      </c>
      <c r="H10" s="7" t="n">
        <f aca="false">IF(G10="","",IF(G10=F10,15,MIN(15,-LOG10(ABS(G10-F10)/ABS(F10)))))</f>
        <v>6.41709039730966</v>
      </c>
    </row>
    <row r="11" customFormat="false" ht="15" hidden="false" customHeight="true" outlineLevel="0" collapsed="false">
      <c r="A11" s="6" t="s">
        <v>89</v>
      </c>
      <c r="B11" s="6" t="s">
        <v>47</v>
      </c>
      <c r="C11" s="12" t="n">
        <v>859.604293779373</v>
      </c>
      <c r="D11" s="12" t="n">
        <v>859.604293779389</v>
      </c>
      <c r="E11" s="7" t="n">
        <f aca="false">IF(D11="","",IF(D11=C11,15,MIN(15,-LOG10(ABS(D11-C11)/ABS(C11)))))</f>
        <v>13.732460354027</v>
      </c>
      <c r="F11" s="12"/>
      <c r="G11" s="12"/>
      <c r="H11" s="7"/>
    </row>
    <row r="12" customFormat="false" ht="15" hidden="false" customHeight="true" outlineLevel="0" collapsed="false">
      <c r="A12" s="6" t="s">
        <v>90</v>
      </c>
      <c r="B12" s="6" t="s">
        <v>87</v>
      </c>
      <c r="C12" s="12" t="n">
        <v>19.1425752831142</v>
      </c>
      <c r="D12" s="12" t="n">
        <v>19.1425752831142</v>
      </c>
      <c r="E12" s="7" t="n">
        <f aca="false">IF(D12="","",IF(D12=C12,15,MIN(15,-LOG10(ABS(D12-C12)/ABS(C12)))))</f>
        <v>15</v>
      </c>
      <c r="F12" s="12" t="n">
        <v>2.49591733149141</v>
      </c>
      <c r="G12" s="12" t="n">
        <v>2.49591728894042</v>
      </c>
      <c r="H12" s="7" t="n">
        <f aca="false">IF(G12="","",IF(G12=F12,15,MIN(15,-LOG10(ABS(G12-F12)/ABS(F12)))))</f>
        <v>7.76832052944999</v>
      </c>
    </row>
    <row r="13" customFormat="false" ht="15" hidden="false" customHeight="true" outlineLevel="0" collapsed="false">
      <c r="A13" s="6" t="s">
        <v>90</v>
      </c>
      <c r="B13" s="6" t="s">
        <v>88</v>
      </c>
      <c r="C13" s="12" t="n">
        <v>0.531091377108676</v>
      </c>
      <c r="D13" s="12" t="n">
        <v>0.531091377108676</v>
      </c>
      <c r="E13" s="7" t="n">
        <f aca="false">IF(D13="","",IF(D13=C13,15,MIN(15,-LOG10(ABS(D13-C13)/ABS(C13)))))</f>
        <v>15</v>
      </c>
      <c r="F13" s="12" t="n">
        <v>0.203082100485288</v>
      </c>
      <c r="G13" s="12" t="n">
        <v>0.203082103482214</v>
      </c>
      <c r="H13" s="7" t="n">
        <f aca="false">IF(G13="","",IF(G13=F13,15,MIN(15,-LOG10(ABS(G13-F13)/ABS(F13)))))</f>
        <v>7.83099562531526</v>
      </c>
    </row>
    <row r="14" customFormat="false" ht="15" hidden="false" customHeight="true" outlineLevel="0" collapsed="false">
      <c r="A14" s="6" t="s">
        <v>90</v>
      </c>
      <c r="B14" s="6" t="s">
        <v>47</v>
      </c>
      <c r="C14" s="12" t="n">
        <v>25.9902672819413</v>
      </c>
      <c r="D14" s="12" t="n">
        <v>25.9902672819413</v>
      </c>
      <c r="E14" s="7" t="n">
        <f aca="false">IF(D14="","",IF(D14=C14,15,MIN(15,-LOG10(ABS(D14-C14)/ABS(C14)))))</f>
        <v>15</v>
      </c>
      <c r="F14" s="12"/>
      <c r="G14" s="12"/>
      <c r="H14" s="7"/>
    </row>
    <row r="15" customFormat="false" ht="15" hidden="false" customHeight="true" outlineLevel="0" collapsed="false">
      <c r="A15" s="6" t="s">
        <v>91</v>
      </c>
      <c r="B15" s="6" t="s">
        <v>87</v>
      </c>
      <c r="C15" s="12" t="n">
        <v>2.49792143931454</v>
      </c>
      <c r="D15" s="12" t="n">
        <v>2.49792143688188</v>
      </c>
      <c r="E15" s="7" t="n">
        <f aca="false">IF(D15="","",IF(D15=C15,15,MIN(15,-LOG10(ABS(D15-C15)/ABS(C15)))))</f>
        <v>9.01149730863304</v>
      </c>
      <c r="F15" s="12" t="n">
        <v>0.107568644584571</v>
      </c>
      <c r="G15" s="12" t="n">
        <v>0.107568646771909</v>
      </c>
      <c r="H15" s="7" t="n">
        <f aca="false">IF(G15="","",IF(G15=F15,15,MIN(15,-LOG10(ABS(G15-F15)/ABS(F15)))))</f>
        <v>7.69176979742461</v>
      </c>
    </row>
    <row r="16" customFormat="false" ht="15" hidden="false" customHeight="true" outlineLevel="0" collapsed="false">
      <c r="A16" s="6" t="s">
        <v>91</v>
      </c>
      <c r="B16" s="6" t="s">
        <v>88</v>
      </c>
      <c r="C16" s="12" t="n">
        <v>0.202456152257386</v>
      </c>
      <c r="D16" s="12" t="n">
        <v>0.202456152728222</v>
      </c>
      <c r="E16" s="7" t="n">
        <f aca="false">IF(D16="","",IF(D16=C16,15,MIN(15,-LOG10(ABS(D16-C16)/ABS(C16)))))</f>
        <v>8.63346130883638</v>
      </c>
      <c r="F16" s="12" t="n">
        <v>0.0179842284252387</v>
      </c>
      <c r="G16" s="12" t="n">
        <v>0.0179842282924068</v>
      </c>
      <c r="H16" s="7" t="n">
        <f aca="false">IF(G16="","",IF(G16=F16,15,MIN(15,-LOG10(ABS(G16-F16)/ABS(F16)))))</f>
        <v>8.13158943102628</v>
      </c>
    </row>
    <row r="17" customFormat="false" ht="15" hidden="false" customHeight="true" outlineLevel="0" collapsed="false">
      <c r="A17" s="6" t="s">
        <v>91</v>
      </c>
      <c r="B17" s="6" t="s">
        <v>47</v>
      </c>
      <c r="C17" s="12" t="n">
        <v>0.0262436730798835</v>
      </c>
      <c r="D17" s="12" t="n">
        <v>0.0262436730798835</v>
      </c>
      <c r="E17" s="7" t="n">
        <f aca="false">IF(D17="","",IF(D17=C17,15,MIN(15,-LOG10(ABS(D17-C17)/ABS(C17)))))</f>
        <v>15</v>
      </c>
      <c r="F17" s="12"/>
      <c r="G17" s="12"/>
      <c r="H17" s="7"/>
    </row>
    <row r="18" customFormat="false" ht="15" hidden="false" customHeight="true" outlineLevel="0" collapsed="false">
      <c r="A18" s="6" t="s">
        <v>92</v>
      </c>
      <c r="B18" s="6" t="s">
        <v>87</v>
      </c>
      <c r="C18" s="12" t="n">
        <v>39.0948978015063</v>
      </c>
      <c r="D18" s="12" t="n">
        <v>39.0948978015063</v>
      </c>
      <c r="E18" s="7" t="n">
        <f aca="false">IF(D18="","",IF(D18=C18,15,MIN(15,-LOG10(ABS(D18-C18)/ABS(C18)))))</f>
        <v>15</v>
      </c>
      <c r="F18" s="12" t="n">
        <v>0.974430761412201</v>
      </c>
      <c r="G18" s="12" t="n">
        <v>0.9744307614122</v>
      </c>
      <c r="H18" s="7" t="n">
        <f aca="false">IF(G18="","",IF(G18=F18,15,MIN(15,-LOG10(ABS(G18-F18)/ABS(F18)))))</f>
        <v>15</v>
      </c>
    </row>
    <row r="19" customFormat="false" ht="15" hidden="false" customHeight="true" outlineLevel="0" collapsed="false">
      <c r="A19" s="6" t="s">
        <v>92</v>
      </c>
      <c r="B19" s="6" t="s">
        <v>88</v>
      </c>
      <c r="C19" s="12" t="n">
        <v>0.828436575069972</v>
      </c>
      <c r="D19" s="12" t="n">
        <v>0.828436575069972</v>
      </c>
      <c r="E19" s="7" t="n">
        <f aca="false">IF(D19="","",IF(D19=C19,15,MIN(15,-LOG10(ABS(D19-C19)/ABS(C19)))))</f>
        <v>15</v>
      </c>
      <c r="F19" s="12" t="n">
        <v>0.00830115781070291</v>
      </c>
      <c r="G19" s="12" t="n">
        <v>0.00830115781070289</v>
      </c>
      <c r="H19" s="7" t="n">
        <f aca="false">IF(G19="","",IF(G19=F19,15,MIN(15,-LOG10(ABS(G19-F19)/ABS(F19)))))</f>
        <v>15</v>
      </c>
    </row>
    <row r="20" customFormat="false" ht="15" hidden="false" customHeight="true" outlineLevel="0" collapsed="false">
      <c r="A20" s="6" t="s">
        <v>92</v>
      </c>
      <c r="B20" s="6" t="s">
        <v>93</v>
      </c>
      <c r="C20" s="12" t="n">
        <v>0.158522386189009</v>
      </c>
      <c r="D20" s="12" t="n">
        <v>0.158522386189009</v>
      </c>
      <c r="E20" s="7" t="n">
        <f aca="false">IF(D20="","",IF(D20=C20,15,MIN(15,-LOG10(ABS(D20-C20)/ABS(C20)))))</f>
        <v>15</v>
      </c>
      <c r="F20" s="12" t="n">
        <v>0.0104439688403248</v>
      </c>
      <c r="G20" s="12" t="n">
        <v>0.0104439688403247</v>
      </c>
      <c r="H20" s="7" t="n">
        <f aca="false">IF(G20="","",IF(G20=F20,15,MIN(15,-LOG10(ABS(G20-F20)/ABS(F20)))))</f>
        <v>14.0162073180433</v>
      </c>
    </row>
    <row r="21" customFormat="false" ht="15" hidden="false" customHeight="true" outlineLevel="0" collapsed="false">
      <c r="A21" s="6" t="s">
        <v>92</v>
      </c>
      <c r="B21" s="6" t="s">
        <v>47</v>
      </c>
      <c r="C21" s="12" t="n">
        <v>1.87932381799198</v>
      </c>
      <c r="D21" s="12" t="n">
        <v>1.87932381799198</v>
      </c>
      <c r="E21" s="7" t="n">
        <f aca="false">IF(D21="","",IF(D21=C21,15,MIN(15,-LOG10(ABS(D21-C21)/ABS(C21)))))</f>
        <v>15</v>
      </c>
      <c r="F21" s="12"/>
      <c r="G21" s="12"/>
      <c r="H21" s="7"/>
    </row>
    <row r="22" customFormat="false" ht="15" hidden="false" customHeight="true" outlineLevel="0" collapsed="false">
      <c r="A22" s="6" t="s">
        <v>94</v>
      </c>
      <c r="B22" s="6" t="s">
        <v>87</v>
      </c>
      <c r="C22" s="12" t="n">
        <v>21.2040377212014</v>
      </c>
      <c r="D22" s="12" t="n">
        <v>21.2040377948756</v>
      </c>
      <c r="E22" s="7" t="n">
        <f aca="false">IF(D22="","",IF(D22=C22,15,MIN(15,-LOG10(ABS(D22-C22)/ABS(C22)))))</f>
        <v>8.45910313376756</v>
      </c>
      <c r="F22" s="12" t="n">
        <v>0.4435999319</v>
      </c>
      <c r="G22" s="12" t="n">
        <v>0.443599844506846</v>
      </c>
      <c r="H22" s="7" t="n">
        <f aca="false">IF(G22="","",IF(G22=F22,15,MIN(15,-LOG10(ABS(G22-F22)/ABS(F22)))))</f>
        <v>6.70551405734904</v>
      </c>
    </row>
    <row r="23" customFormat="false" ht="15" hidden="false" customHeight="true" outlineLevel="0" collapsed="false">
      <c r="A23" s="6" t="s">
        <v>94</v>
      </c>
      <c r="B23" s="6" t="s">
        <v>88</v>
      </c>
      <c r="C23" s="12" t="n">
        <v>296.449556948203</v>
      </c>
      <c r="D23" s="12" t="n">
        <v>296.449399640686</v>
      </c>
      <c r="E23" s="7" t="n">
        <f aca="false">IF(D23="","",IF(D23=C23,15,MIN(15,-LOG10(ABS(D23-C23)/ABS(C23)))))</f>
        <v>6.2752013296084</v>
      </c>
      <c r="F23" s="12" t="n">
        <v>542.66378916721</v>
      </c>
      <c r="G23" s="12" t="n">
        <v>542.665569192973</v>
      </c>
      <c r="H23" s="7" t="n">
        <f aca="false">IF(G23="","",IF(G23=F23,15,MIN(15,-LOG10(ABS(G23-F23)/ABS(F23)))))</f>
        <v>5.48410455491491</v>
      </c>
    </row>
    <row r="24" customFormat="false" ht="15" hidden="false" customHeight="true" outlineLevel="0" collapsed="false">
      <c r="A24" s="6" t="s">
        <v>94</v>
      </c>
      <c r="B24" s="6" t="s">
        <v>93</v>
      </c>
      <c r="C24" s="12" t="n">
        <v>0.777218427578156</v>
      </c>
      <c r="D24" s="12" t="n">
        <v>0.777218376323776</v>
      </c>
      <c r="E24" s="7" t="n">
        <f aca="false">IF(D24="","",IF(D24=C24,15,MIN(15,-LOG10(ABS(D24-C24)/ABS(C24)))))</f>
        <v>7.18081210490763</v>
      </c>
      <c r="F24" s="12" t="n">
        <v>0.178375673712723</v>
      </c>
      <c r="G24" s="12" t="n">
        <v>0.178375763962696</v>
      </c>
      <c r="H24" s="7" t="n">
        <f aca="false">IF(G24="","",IF(G24=F24,15,MIN(15,-LOG10(ABS(G24-F24)/ABS(F24)))))</f>
        <v>6.2958885458007</v>
      </c>
    </row>
    <row r="25" customFormat="false" ht="15" hidden="false" customHeight="true" outlineLevel="0" collapsed="false">
      <c r="A25" s="6" t="s">
        <v>94</v>
      </c>
      <c r="B25" s="6" t="s">
        <v>95</v>
      </c>
      <c r="C25" s="12" t="n">
        <v>1.61890877587945</v>
      </c>
      <c r="D25" s="12" t="n">
        <v>1.61890858943864</v>
      </c>
      <c r="E25" s="7" t="n">
        <f aca="false">IF(D25="","",IF(D25=C25,15,MIN(15,-LOG10(ABS(D25-C25)/ABS(C25)))))</f>
        <v>6.93868139595769</v>
      </c>
      <c r="F25" s="12" t="n">
        <v>0.665451854779459</v>
      </c>
      <c r="G25" s="12" t="n">
        <v>0.665452161694885</v>
      </c>
      <c r="H25" s="7" t="n">
        <f aca="false">IF(G25="","",IF(G25=F25,15,MIN(15,-LOG10(ABS(G25-F25)/ABS(F25)))))</f>
        <v>6.3360979227081</v>
      </c>
    </row>
    <row r="26" customFormat="false" ht="15" hidden="false" customHeight="true" outlineLevel="0" collapsed="false">
      <c r="A26" s="6" t="s">
        <v>94</v>
      </c>
      <c r="B26" s="6" t="s">
        <v>47</v>
      </c>
      <c r="C26" s="12" t="n">
        <v>5.52288353942073</v>
      </c>
      <c r="D26" s="12" t="n">
        <v>5.52288353942083</v>
      </c>
      <c r="E26" s="7" t="n">
        <f aca="false">IF(D26="","",IF(D26=C26,15,MIN(15,-LOG10(ABS(D26-C26)/ABS(C26)))))</f>
        <v>13.7405872251048</v>
      </c>
      <c r="F26" s="12"/>
      <c r="G26" s="12"/>
      <c r="H26" s="7"/>
    </row>
    <row r="27" customFormat="false" ht="15" hidden="false" customHeight="true" outlineLevel="0" collapsed="false">
      <c r="A27" s="6" t="s">
        <v>96</v>
      </c>
      <c r="B27" s="6" t="s">
        <v>97</v>
      </c>
      <c r="C27" s="12" t="n">
        <v>0.00941549627716197</v>
      </c>
      <c r="D27" s="12" t="n">
        <v>0.00941549627716197</v>
      </c>
      <c r="E27" s="7" t="n">
        <f aca="false">IF(D27="","",IF(D27=C27,15,MIN(15,-LOG10(ABS(D27-C27)/ABS(C27)))))</f>
        <v>15</v>
      </c>
      <c r="F27" s="12" t="n">
        <v>0.0004200856636292</v>
      </c>
      <c r="G27" s="12" t="n">
        <v>0.000420085656750835</v>
      </c>
      <c r="H27" s="7" t="n">
        <f aca="false">IF(G27="","",IF(G27=F27,15,MIN(15,-LOG10(ABS(G27-F27)/ABS(F27)))))</f>
        <v>7.78585264192302</v>
      </c>
    </row>
    <row r="28" customFormat="false" ht="15" hidden="false" customHeight="true" outlineLevel="0" collapsed="false">
      <c r="A28" s="6" t="s">
        <v>96</v>
      </c>
      <c r="B28" s="6" t="s">
        <v>47</v>
      </c>
      <c r="C28" s="12" t="n">
        <v>44.1557948341006</v>
      </c>
      <c r="D28" s="12" t="n">
        <v>44.1557948341006</v>
      </c>
      <c r="E28" s="7" t="n">
        <f aca="false">IF(D28="","",IF(D28=C28,15,MIN(15,-LOG10(ABS(D28-C28)/ABS(C28)))))</f>
        <v>15</v>
      </c>
      <c r="F28" s="12"/>
      <c r="G28" s="12"/>
      <c r="H28" s="7"/>
    </row>
    <row r="29" customFormat="false" ht="15" hidden="false" customHeight="true" outlineLevel="0" collapsed="false">
      <c r="A29" s="6" t="s">
        <v>98</v>
      </c>
      <c r="B29" s="6" t="s">
        <v>87</v>
      </c>
      <c r="C29" s="12" t="n">
        <v>81.2440387542827</v>
      </c>
      <c r="D29" s="12" t="n">
        <v>81.244038557</v>
      </c>
      <c r="E29" s="7" t="n">
        <f aca="false">IF(D29="","",IF(D29=C29,15,MIN(15,-LOG10(ABS(D29-C29)/ABS(C29)))))</f>
        <v>8.61470249684341</v>
      </c>
      <c r="F29" s="12" t="n">
        <v>6.10731434066821</v>
      </c>
      <c r="G29" s="12" t="n">
        <v>6.10731482134254</v>
      </c>
      <c r="H29" s="7" t="n">
        <f aca="false">IF(G29="","",IF(G29=F29,15,MIN(15,-LOG10(ABS(G29-F29)/ABS(F29)))))</f>
        <v>7.10399934337838</v>
      </c>
    </row>
    <row r="30" customFormat="false" ht="15" hidden="false" customHeight="true" outlineLevel="0" collapsed="false">
      <c r="A30" s="6" t="s">
        <v>98</v>
      </c>
      <c r="B30" s="6" t="s">
        <v>88</v>
      </c>
      <c r="C30" s="12" t="n">
        <v>1.3059889180403</v>
      </c>
      <c r="D30" s="12" t="n">
        <v>1.30598893981956</v>
      </c>
      <c r="E30" s="7" t="n">
        <f aca="false">IF(D30="","",IF(D30=C30,15,MIN(15,-LOG10(ABS(D30-C30)/ABS(C30)))))</f>
        <v>7.77789636877458</v>
      </c>
      <c r="F30" s="12" t="n">
        <v>0.197541336413734</v>
      </c>
      <c r="G30" s="12" t="n">
        <v>0.197541306484829</v>
      </c>
      <c r="H30" s="7" t="n">
        <f aca="false">IF(G30="","",IF(G30=F30,15,MIN(15,-LOG10(ABS(G30-F30)/ABS(F30)))))</f>
        <v>6.81956715991872</v>
      </c>
    </row>
    <row r="31" customFormat="false" ht="15" hidden="false" customHeight="true" outlineLevel="0" collapsed="false">
      <c r="A31" s="6" t="s">
        <v>98</v>
      </c>
      <c r="B31" s="6" t="s">
        <v>93</v>
      </c>
      <c r="C31" s="12" t="n">
        <v>162.594411687715</v>
      </c>
      <c r="D31" s="12" t="n">
        <v>162.594412282612</v>
      </c>
      <c r="E31" s="7" t="n">
        <f aca="false">IF(D31="","",IF(D31=C31,15,MIN(15,-LOG10(ABS(D31-C31)/ABS(C31)))))</f>
        <v>8.43666382373912</v>
      </c>
      <c r="F31" s="12" t="n">
        <v>6.94298746589571</v>
      </c>
      <c r="G31" s="12" t="n">
        <v>6.94298815939777</v>
      </c>
      <c r="H31" s="7" t="n">
        <f aca="false">IF(G31="","",IF(G31=F31,15,MIN(15,-LOG10(ABS(G31-F31)/ABS(F31)))))</f>
        <v>7.00049862563736</v>
      </c>
    </row>
    <row r="32" customFormat="false" ht="15" hidden="false" customHeight="true" outlineLevel="0" collapsed="false">
      <c r="A32" s="6" t="s">
        <v>98</v>
      </c>
      <c r="B32" s="6" t="s">
        <v>95</v>
      </c>
      <c r="C32" s="12" t="n">
        <v>0.161785640683587</v>
      </c>
      <c r="D32" s="12" t="n">
        <v>0.161785641244263</v>
      </c>
      <c r="E32" s="7" t="n">
        <f aca="false">IF(D32="","",IF(D32=C32,15,MIN(15,-LOG10(ABS(D32-C32)/ABS(C32)))))</f>
        <v>8.46022800242207</v>
      </c>
      <c r="F32" s="12" t="n">
        <v>0.00877976369858376</v>
      </c>
      <c r="G32" s="12" t="n">
        <v>0.00877976414791864</v>
      </c>
      <c r="H32" s="7" t="n">
        <f aca="false">IF(G32="","",IF(G32=F32,15,MIN(15,-LOG10(ABS(G32-F32)/ABS(F32)))))</f>
        <v>7.29091269487704</v>
      </c>
    </row>
    <row r="33" customFormat="false" ht="15" hidden="false" customHeight="true" outlineLevel="0" collapsed="false">
      <c r="A33" s="6" t="s">
        <v>98</v>
      </c>
      <c r="B33" s="6" t="s">
        <v>47</v>
      </c>
      <c r="C33" s="12" t="n">
        <v>34.3764709806435</v>
      </c>
      <c r="D33" s="12" t="n">
        <v>34.3764709806437</v>
      </c>
      <c r="E33" s="7" t="n">
        <f aca="false">IF(D33="","",IF(D33=C33,15,MIN(15,-LOG10(ABS(D33-C33)/ABS(C33)))))</f>
        <v>14.2222730891496</v>
      </c>
      <c r="F33" s="12"/>
      <c r="G33" s="12"/>
      <c r="H33" s="7"/>
    </row>
    <row r="34" customFormat="false" ht="15" hidden="false" customHeight="true" outlineLevel="0" collapsed="false">
      <c r="A34" s="6" t="s">
        <v>99</v>
      </c>
      <c r="B34" s="6" t="s">
        <v>87</v>
      </c>
      <c r="C34" s="12" t="n">
        <v>0.148800887236235</v>
      </c>
      <c r="D34" s="12" t="n">
        <v>0.148800888456313</v>
      </c>
      <c r="E34" s="7" t="n">
        <f aca="false">IF(D34="","",IF(D34=C34,15,MIN(15,-LOG10(ABS(D34-C34)/ABS(C34)))))</f>
        <v>8.08621792071469</v>
      </c>
      <c r="F34" s="12" t="n">
        <v>0.0144094197000162</v>
      </c>
      <c r="G34" s="12" t="n">
        <v>0.0144094179518194</v>
      </c>
      <c r="H34" s="7" t="n">
        <f aca="false">IF(G34="","",IF(G34=F34,15,MIN(15,-LOG10(ABS(G34-F34)/ABS(F34)))))</f>
        <v>6.91605617041659</v>
      </c>
    </row>
    <row r="35" customFormat="false" ht="15" hidden="false" customHeight="true" outlineLevel="0" collapsed="false">
      <c r="A35" s="6" t="s">
        <v>99</v>
      </c>
      <c r="B35" s="6" t="s">
        <v>88</v>
      </c>
      <c r="C35" s="12" t="n">
        <v>0.715751069621216</v>
      </c>
      <c r="D35" s="12" t="n">
        <v>0.71575105613283</v>
      </c>
      <c r="E35" s="7" t="n">
        <f aca="false">IF(D35="","",IF(D35=C35,15,MIN(15,-LOG10(ABS(D35-C35)/ABS(C35)))))</f>
        <v>7.72480201754355</v>
      </c>
      <c r="F35" s="12" t="n">
        <v>0.126053536627885</v>
      </c>
      <c r="G35" s="12" t="n">
        <v>0.12605354508495</v>
      </c>
      <c r="H35" s="7" t="n">
        <f aca="false">IF(G35="","",IF(G35=F35,15,MIN(15,-LOG10(ABS(G35-F35)/ABS(F35)))))</f>
        <v>7.17333536539698</v>
      </c>
    </row>
    <row r="36" customFormat="false" ht="15" hidden="false" customHeight="true" outlineLevel="0" collapsed="false">
      <c r="A36" s="6" t="s">
        <v>99</v>
      </c>
      <c r="B36" s="6" t="s">
        <v>93</v>
      </c>
      <c r="C36" s="12" t="n">
        <v>2.64964645958055</v>
      </c>
      <c r="D36" s="12" t="n">
        <v>2.64964649578123</v>
      </c>
      <c r="E36" s="7" t="n">
        <f aca="false">IF(D36="","",IF(D36=C36,15,MIN(15,-LOG10(ABS(D36-C36)/ABS(C36)))))</f>
        <v>7.86447119895371</v>
      </c>
      <c r="F36" s="12" t="n">
        <v>0.36446539242519</v>
      </c>
      <c r="G36" s="12" t="n">
        <v>0.364465305078869</v>
      </c>
      <c r="H36" s="7" t="n">
        <f aca="false">IF(G36="","",IF(G36=F36,15,MIN(15,-LOG10(ABS(G36-F36)/ABS(F36)))))</f>
        <v>6.62041167905941</v>
      </c>
    </row>
    <row r="37" customFormat="false" ht="15" hidden="false" customHeight="true" outlineLevel="0" collapsed="false">
      <c r="A37" s="6" t="s">
        <v>99</v>
      </c>
      <c r="B37" s="6" t="s">
        <v>95</v>
      </c>
      <c r="C37" s="12" t="n">
        <v>0.412236336410038</v>
      </c>
      <c r="D37" s="12" t="n">
        <v>0.412236328622688</v>
      </c>
      <c r="E37" s="7" t="n">
        <f aca="false">IF(D37="","",IF(D37=C37,15,MIN(15,-LOG10(ABS(D37-C37)/ABS(C37)))))</f>
        <v>7.72375657620388</v>
      </c>
      <c r="F37" s="12" t="n">
        <v>0.0949460424051782</v>
      </c>
      <c r="G37" s="12" t="n">
        <v>0.0949460365891398</v>
      </c>
      <c r="H37" s="7" t="n">
        <f aca="false">IF(G37="","",IF(G37=F37,15,MIN(15,-LOG10(ABS(G37-F37)/ABS(F37)))))</f>
        <v>7.21284960161475</v>
      </c>
    </row>
    <row r="38" customFormat="false" ht="15" hidden="false" customHeight="true" outlineLevel="0" collapsed="false">
      <c r="A38" s="6" t="s">
        <v>99</v>
      </c>
      <c r="B38" s="6" t="s">
        <v>47</v>
      </c>
      <c r="C38" s="12" t="n">
        <v>0.0100453142024762</v>
      </c>
      <c r="D38" s="12" t="n">
        <v>0.0100453142024763</v>
      </c>
      <c r="E38" s="7" t="n">
        <f aca="false">IF(D38="","",IF(D38=C38,15,MIN(15,-LOG10(ABS(D38-C38)/ABS(C38)))))</f>
        <v>14.0068584138841</v>
      </c>
      <c r="F38" s="12"/>
      <c r="G38" s="12"/>
      <c r="H38" s="7"/>
    </row>
    <row r="39" customFormat="false" ht="15" hidden="false" customHeight="true" outlineLevel="0" collapsed="false">
      <c r="A39" s="6" t="s">
        <v>100</v>
      </c>
      <c r="B39" s="6" t="s">
        <v>87</v>
      </c>
      <c r="C39" s="12" t="n">
        <v>0.0387078850232422</v>
      </c>
      <c r="D39" s="12" t="n">
        <v>0.0387078848351168</v>
      </c>
      <c r="E39" s="7" t="n">
        <f aca="false">IF(D39="","",IF(D39=C39,15,MIN(15,-LOG10(ABS(D39-C39)/ABS(C39)))))</f>
        <v>8.31335201246374</v>
      </c>
      <c r="F39" s="12" t="n">
        <v>0.00177051503710035</v>
      </c>
      <c r="G39" s="12" t="n">
        <v>0.00177051502058327</v>
      </c>
      <c r="H39" s="7" t="n">
        <f aca="false">IF(G39="","",IF(G39=F39,15,MIN(15,-LOG10(ABS(G39-F39)/ABS(F39)))))</f>
        <v>8.03016634675462</v>
      </c>
    </row>
    <row r="40" customFormat="false" ht="15" hidden="false" customHeight="true" outlineLevel="0" collapsed="false">
      <c r="A40" s="6" t="s">
        <v>100</v>
      </c>
      <c r="B40" s="6" t="s">
        <v>88</v>
      </c>
      <c r="C40" s="12" t="n">
        <v>0.305064737701127</v>
      </c>
      <c r="D40" s="12" t="n">
        <v>0.305064734733516</v>
      </c>
      <c r="E40" s="7" t="n">
        <f aca="false">IF(D40="","",IF(D40=C40,15,MIN(15,-LOG10(ABS(D40-C40)/ABS(C40)))))</f>
        <v>8.01198503172932</v>
      </c>
      <c r="F40" s="12" t="n">
        <v>0.0354996892801794</v>
      </c>
      <c r="G40" s="12" t="n">
        <v>0.0354996824532592</v>
      </c>
      <c r="H40" s="7" t="n">
        <f aca="false">IF(G40="","",IF(G40=F40,15,MIN(15,-LOG10(ABS(G40-F40)/ABS(F40)))))</f>
        <v>6.7159997252211</v>
      </c>
    </row>
    <row r="41" customFormat="false" ht="15" hidden="false" customHeight="true" outlineLevel="0" collapsed="false">
      <c r="A41" s="6" t="s">
        <v>100</v>
      </c>
      <c r="B41" s="6" t="s">
        <v>93</v>
      </c>
      <c r="C41" s="12" t="n">
        <v>762.938172906657</v>
      </c>
      <c r="D41" s="12" t="n">
        <v>762.938168216962</v>
      </c>
      <c r="E41" s="7" t="n">
        <f aca="false">IF(D41="","",IF(D41=C41,15,MIN(15,-LOG10(ABS(D41-C41)/ABS(C41)))))</f>
        <v>8.21134475110065</v>
      </c>
      <c r="F41" s="12" t="n">
        <v>45.1132320074355</v>
      </c>
      <c r="G41" s="12" t="n">
        <v>45.1132311220116</v>
      </c>
      <c r="H41" s="7" t="n">
        <f aca="false">IF(G41="","",IF(G41=F41,15,MIN(15,-LOG10(ABS(G41-F41)/ABS(F41)))))</f>
        <v>7.70715270075556</v>
      </c>
    </row>
    <row r="42" customFormat="false" ht="15" hidden="false" customHeight="true" outlineLevel="0" collapsed="false">
      <c r="A42" s="6" t="s">
        <v>100</v>
      </c>
      <c r="B42" s="6" t="s">
        <v>95</v>
      </c>
      <c r="C42" s="12" t="n">
        <v>1578.26459941903</v>
      </c>
      <c r="D42" s="12" t="n">
        <v>1578.26459842594</v>
      </c>
      <c r="E42" s="7" t="n">
        <f aca="false">IF(D42="","",IF(D42=C42,15,MIN(15,-LOG10(ABS(D42-C42)/ABS(C42)))))</f>
        <v>9.20119120758806</v>
      </c>
      <c r="F42" s="12" t="n">
        <v>82.9585483445553</v>
      </c>
      <c r="G42" s="12" t="n">
        <v>82.9585377372977</v>
      </c>
      <c r="H42" s="7" t="n">
        <f aca="false">IF(G42="","",IF(G42=F42,15,MIN(15,-LOG10(ABS(G42-F42)/ABS(F42)))))</f>
        <v>6.89325802826386</v>
      </c>
    </row>
    <row r="43" customFormat="false" ht="15" hidden="false" customHeight="true" outlineLevel="0" collapsed="false">
      <c r="A43" s="6" t="s">
        <v>100</v>
      </c>
      <c r="B43" s="6" t="s">
        <v>47</v>
      </c>
      <c r="C43" s="12" t="n">
        <v>66189.1265732122</v>
      </c>
      <c r="D43" s="12" t="n">
        <v>66189.1265732128</v>
      </c>
      <c r="E43" s="7" t="n">
        <f aca="false">IF(D43="","",IF(D43=C43,15,MIN(15,-LOG10(ABS(D43-C43)/ABS(C43)))))</f>
        <v>14.0450826373919</v>
      </c>
      <c r="F43" s="12"/>
      <c r="G43" s="12"/>
      <c r="H43" s="7"/>
    </row>
    <row r="44" customFormat="false" ht="15" hidden="false" customHeight="true" outlineLevel="0" collapsed="false">
      <c r="A44" s="6" t="s">
        <v>101</v>
      </c>
      <c r="B44" s="6" t="s">
        <v>102</v>
      </c>
      <c r="C44" s="12" t="n">
        <v>-14.2712793508819</v>
      </c>
      <c r="D44" s="12" t="n">
        <v>-14.2712793508819</v>
      </c>
      <c r="E44" s="7" t="n">
        <f aca="false">IF(D44="","",IF(D44=C44,15,MIN(15,-LOG10(ABS(D44-C44)/ABS(C44)))))</f>
        <v>15</v>
      </c>
      <c r="F44" s="12" t="n">
        <v>4.29571991472856</v>
      </c>
      <c r="G44" s="12" t="n">
        <v>4.29571991472857</v>
      </c>
      <c r="H44" s="7" t="n">
        <f aca="false">IF(G44="","",IF(G44=F44,15,MIN(15,-LOG10(ABS(G44-F44)/ABS(F44)))))</f>
        <v>15</v>
      </c>
    </row>
    <row r="45" customFormat="false" ht="15" hidden="false" customHeight="true" outlineLevel="0" collapsed="false">
      <c r="A45" s="6" t="s">
        <v>101</v>
      </c>
      <c r="B45" s="6" t="s">
        <v>103</v>
      </c>
      <c r="C45" s="12" t="n">
        <v>12.7903819533474</v>
      </c>
      <c r="D45" s="12" t="n">
        <v>12.7903819533474</v>
      </c>
      <c r="E45" s="7" t="n">
        <f aca="false">IF(D45="","",IF(D45=C45,15,MIN(15,-LOG10(ABS(D45-C45)/ABS(C45)))))</f>
        <v>15</v>
      </c>
      <c r="F45" s="12" t="n">
        <v>2.48953326021714</v>
      </c>
      <c r="G45" s="12" t="n">
        <v>2.48953326021714</v>
      </c>
      <c r="H45" s="7" t="n">
        <f aca="false">IF(G45="","",IF(G45=F45,15,MIN(15,-LOG10(ABS(G45-F45)/ABS(F45)))))</f>
        <v>15</v>
      </c>
    </row>
    <row r="46" customFormat="false" ht="15" hidden="false" customHeight="true" outlineLevel="0" collapsed="false">
      <c r="A46" s="6" t="s">
        <v>101</v>
      </c>
      <c r="B46" s="6" t="s">
        <v>47</v>
      </c>
      <c r="C46" s="12" t="n">
        <v>752.762120069925</v>
      </c>
      <c r="D46" s="12" t="n">
        <v>752.762120069925</v>
      </c>
      <c r="E46" s="7" t="n">
        <f aca="false">IF(D46="","",IF(D46=C46,15,MIN(15,-LOG10(ABS(D46-C46)/ABS(C46)))))</f>
        <v>15</v>
      </c>
      <c r="F46" s="12"/>
      <c r="G46" s="12"/>
      <c r="H46" s="7"/>
    </row>
    <row r="47" customFormat="false" ht="15" hidden="false" customHeight="true" outlineLevel="0" collapsed="false">
      <c r="A47" s="6" t="s">
        <v>104</v>
      </c>
      <c r="B47" s="6" t="s">
        <v>87</v>
      </c>
      <c r="C47" s="12" t="n">
        <v>89797.9575935654</v>
      </c>
      <c r="D47" s="12" t="n">
        <v>89797.9553685126</v>
      </c>
      <c r="E47" s="7" t="n">
        <f aca="false">IF(D47="","",IF(D47=C47,15,MIN(15,-LOG10(ABS(D47-C47)/ABS(C47)))))</f>
        <v>7.60592613819301</v>
      </c>
      <c r="F47" s="12" t="n">
        <v>37280.4623950895</v>
      </c>
      <c r="G47" s="12" t="n">
        <v>37280.4502286037</v>
      </c>
      <c r="H47" s="7" t="n">
        <f aca="false">IF(G47="","",IF(G47=F47,15,MIN(15,-LOG10(ABS(G47-F47)/ABS(F47)))))</f>
        <v>6.48631613696352</v>
      </c>
    </row>
    <row r="48" customFormat="false" ht="15" hidden="false" customHeight="true" outlineLevel="0" collapsed="false">
      <c r="A48" s="6" t="s">
        <v>104</v>
      </c>
      <c r="B48" s="6" t="s">
        <v>88</v>
      </c>
      <c r="C48" s="12" t="n">
        <v>186.61871245302</v>
      </c>
      <c r="D48" s="12" t="n">
        <v>186.618707146052</v>
      </c>
      <c r="E48" s="7" t="n">
        <f aca="false">IF(D48="","",IF(D48=C48,15,MIN(15,-LOG10(ABS(D48-C48)/ABS(C48)))))</f>
        <v>7.54610871930785</v>
      </c>
      <c r="F48" s="12" t="n">
        <v>89.3614971947006</v>
      </c>
      <c r="G48" s="12" t="n">
        <v>89.3614682434317</v>
      </c>
      <c r="H48" s="7" t="n">
        <f aca="false">IF(G48="","",IF(G48=F48,15,MIN(15,-LOG10(ABS(G48-F48)/ABS(F48)))))</f>
        <v>6.48948283336516</v>
      </c>
    </row>
    <row r="49" customFormat="false" ht="15" hidden="false" customHeight="true" outlineLevel="0" collapsed="false">
      <c r="A49" s="6" t="s">
        <v>104</v>
      </c>
      <c r="B49" s="6" t="s">
        <v>93</v>
      </c>
      <c r="C49" s="12" t="n">
        <v>0.0162524327265818</v>
      </c>
      <c r="D49" s="12" t="n">
        <v>0.0162524321746208</v>
      </c>
      <c r="E49" s="7" t="n">
        <f aca="false">IF(D49="","",IF(D49=C49,15,MIN(15,-LOG10(ABS(D49-C49)/ABS(C49)))))</f>
        <v>7.46900998602886</v>
      </c>
      <c r="F49" s="12" t="n">
        <v>0.00914356426393574</v>
      </c>
      <c r="G49" s="12" t="n">
        <v>0.00914356124556688</v>
      </c>
      <c r="H49" s="7" t="n">
        <f aca="false">IF(G49="","",IF(G49=F49,15,MIN(15,-LOG10(ABS(G49-F49)/ABS(F49)))))</f>
        <v>6.48134321011754</v>
      </c>
    </row>
    <row r="50" customFormat="false" ht="15" hidden="false" customHeight="true" outlineLevel="0" collapsed="false">
      <c r="A50" s="6" t="s">
        <v>104</v>
      </c>
      <c r="B50" s="6" t="s">
        <v>47</v>
      </c>
      <c r="C50" s="12" t="n">
        <v>15789509.2749214</v>
      </c>
      <c r="D50" s="12" t="n">
        <v>15789509.2749215</v>
      </c>
      <c r="E50" s="7" t="n">
        <f aca="false">IF(D50="","",IF(D50=C50,15,MIN(15,-LOG10(ABS(D50-C50)/ABS(C50)))))</f>
        <v>14.2039626373542</v>
      </c>
      <c r="F50" s="12"/>
      <c r="G50" s="12"/>
      <c r="H50" s="7"/>
    </row>
    <row r="51" customFormat="false" ht="15" hidden="false" customHeight="true" outlineLevel="0" collapsed="false">
      <c r="A51" s="6" t="s">
        <v>105</v>
      </c>
      <c r="B51" s="6" t="s">
        <v>87</v>
      </c>
      <c r="C51" s="12" t="n">
        <v>41964.4108176917</v>
      </c>
      <c r="D51" s="12" t="n">
        <v>41964.4151280379</v>
      </c>
      <c r="E51" s="7" t="n">
        <f aca="false">IF(D51="","",IF(D51=C51,15,MIN(15,-LOG10(ABS(D51-C51)/ABS(C51)))))</f>
        <v>6.98836897646385</v>
      </c>
      <c r="F51" s="12" t="n">
        <v>21755.7746033621</v>
      </c>
      <c r="G51" s="12" t="n">
        <v>21755.6866525994</v>
      </c>
      <c r="H51" s="7" t="n">
        <f aca="false">IF(G51="","",IF(G51=F51,15,MIN(15,-LOG10(ABS(G51-F51)/ABS(F51)))))</f>
        <v>5.39333494077444</v>
      </c>
    </row>
    <row r="52" customFormat="false" ht="15" hidden="false" customHeight="true" outlineLevel="0" collapsed="false">
      <c r="A52" s="6" t="s">
        <v>105</v>
      </c>
      <c r="B52" s="6" t="s">
        <v>88</v>
      </c>
      <c r="C52" s="12" t="n">
        <v>0.0165063940507989</v>
      </c>
      <c r="D52" s="12" t="n">
        <v>0.0165063930649737</v>
      </c>
      <c r="E52" s="7" t="n">
        <f aca="false">IF(D52="","",IF(D52=C52,15,MIN(15,-LOG10(ABS(D52-C52)/ABS(C52)))))</f>
        <v>7.22385229342789</v>
      </c>
      <c r="F52" s="12" t="n">
        <v>0.00488108937400076</v>
      </c>
      <c r="G52" s="12" t="n">
        <v>0.00488108594009</v>
      </c>
      <c r="H52" s="7" t="n">
        <f aca="false">IF(G52="","",IF(G52=F52,15,MIN(15,-LOG10(ABS(G52-F52)/ABS(F52)))))</f>
        <v>6.15272775519804</v>
      </c>
    </row>
    <row r="53" customFormat="false" ht="15" hidden="false" customHeight="true" outlineLevel="0" collapsed="false">
      <c r="A53" s="6" t="s">
        <v>105</v>
      </c>
      <c r="B53" s="6" t="s">
        <v>93</v>
      </c>
      <c r="C53" s="12" t="n">
        <v>0.0040341271648346</v>
      </c>
      <c r="D53" s="12" t="n">
        <v>0.0040341275865914</v>
      </c>
      <c r="E53" s="7" t="n">
        <f aca="false">IF(D53="","",IF(D53=C53,15,MIN(15,-LOG10(ABS(D53-C53)/ABS(C53)))))</f>
        <v>6.98068749096391</v>
      </c>
      <c r="F53" s="12" t="n">
        <v>0.00216928425262999</v>
      </c>
      <c r="G53" s="12" t="n">
        <v>0.00216928032339267</v>
      </c>
      <c r="H53" s="7" t="n">
        <f aca="false">IF(G53="","",IF(G53=F53,15,MIN(15,-LOG10(ABS(G53-F53)/ABS(F53)))))</f>
        <v>5.74200820327277</v>
      </c>
    </row>
    <row r="54" customFormat="false" ht="15" hidden="false" customHeight="true" outlineLevel="0" collapsed="false">
      <c r="A54" s="6" t="s">
        <v>105</v>
      </c>
      <c r="B54" s="6" t="s">
        <v>47</v>
      </c>
      <c r="C54" s="12" t="n">
        <v>17701319.7494543</v>
      </c>
      <c r="D54" s="12" t="n">
        <v>17701319.7494544</v>
      </c>
      <c r="E54" s="7" t="n">
        <f aca="false">IF(D54="","",IF(D54=C54,15,MIN(15,-LOG10(ABS(D54-C54)/ABS(C54)))))</f>
        <v>14.2454817615027</v>
      </c>
      <c r="F54" s="12"/>
      <c r="G54" s="12"/>
      <c r="H54" s="7"/>
    </row>
    <row r="55" customFormat="false" ht="15" hidden="false" customHeight="true" outlineLevel="0" collapsed="false">
      <c r="A55" s="6" t="s">
        <v>106</v>
      </c>
      <c r="B55" s="6" t="s">
        <v>87</v>
      </c>
      <c r="C55" s="12" t="n">
        <v>50900.1432644539</v>
      </c>
      <c r="D55" s="12" t="n">
        <v>50900.1432644539</v>
      </c>
      <c r="E55" s="7" t="n">
        <f aca="false">IF(D55="","",IF(D55=C55,15,MIN(15,-LOG10(ABS(D55-C55)/ABS(C55)))))</f>
        <v>15</v>
      </c>
      <c r="F55" s="12" t="n">
        <v>13855.3115649749</v>
      </c>
      <c r="G55" s="12" t="n">
        <v>13855.3056943528</v>
      </c>
      <c r="H55" s="7" t="n">
        <f aca="false">IF(G55="","",IF(G55=F55,15,MIN(15,-LOG10(ABS(G55-F55)/ABS(F55)))))</f>
        <v>6.37293217116335</v>
      </c>
    </row>
    <row r="56" customFormat="false" ht="15" hidden="false" customHeight="true" outlineLevel="0" collapsed="false">
      <c r="A56" s="6" t="s">
        <v>106</v>
      </c>
      <c r="B56" s="6" t="s">
        <v>88</v>
      </c>
      <c r="C56" s="12" t="n">
        <v>103.527876806193</v>
      </c>
      <c r="D56" s="12" t="n">
        <v>103.527876806193</v>
      </c>
      <c r="E56" s="7" t="n">
        <f aca="false">IF(D56="","",IF(D56=C56,15,MIN(15,-LOG10(ABS(D56-C56)/ABS(C56)))))</f>
        <v>15</v>
      </c>
      <c r="F56" s="12" t="n">
        <v>35.7271220662771</v>
      </c>
      <c r="G56" s="12" t="n">
        <v>35.7271068094849</v>
      </c>
      <c r="H56" s="7" t="n">
        <f aca="false">IF(G56="","",IF(G56=F56,15,MIN(15,-LOG10(ABS(G56-F56)/ABS(F56)))))</f>
        <v>6.36953480281331</v>
      </c>
    </row>
    <row r="57" customFormat="false" ht="15" hidden="false" customHeight="true" outlineLevel="0" collapsed="false">
      <c r="A57" s="6" t="s">
        <v>106</v>
      </c>
      <c r="B57" s="6" t="s">
        <v>93</v>
      </c>
      <c r="C57" s="12" t="n">
        <v>0.00780276534818681</v>
      </c>
      <c r="D57" s="12" t="n">
        <v>0.00780276534818681</v>
      </c>
      <c r="E57" s="7" t="n">
        <f aca="false">IF(D57="","",IF(D57=C57,15,MIN(15,-LOG10(ABS(D57-C57)/ABS(C57)))))</f>
        <v>15</v>
      </c>
      <c r="F57" s="12" t="n">
        <v>0.00370745076550847</v>
      </c>
      <c r="G57" s="12" t="n">
        <v>0.00370744920551898</v>
      </c>
      <c r="H57" s="7" t="n">
        <f aca="false">IF(G57="","",IF(G57=F57,15,MIN(15,-LOG10(ABS(G57-F57)/ABS(F57)))))</f>
        <v>6.37595371993209</v>
      </c>
    </row>
    <row r="58" customFormat="false" ht="15" hidden="false" customHeight="true" outlineLevel="0" collapsed="false">
      <c r="A58" s="6" t="s">
        <v>106</v>
      </c>
      <c r="B58" s="6" t="s">
        <v>47</v>
      </c>
      <c r="C58" s="12" t="n">
        <v>16233082.6785263</v>
      </c>
      <c r="D58" s="12" t="n">
        <v>16233082.6785263</v>
      </c>
      <c r="E58" s="7" t="n">
        <f aca="false">IF(D58="","",IF(D58=C58,15,MIN(15,-LOG10(ABS(D58-C58)/ABS(C58)))))</f>
        <v>15</v>
      </c>
      <c r="F58" s="12"/>
      <c r="G58" s="12"/>
      <c r="H58" s="7"/>
    </row>
    <row r="59" customFormat="false" ht="15" hidden="false" customHeight="true" outlineLevel="0" collapsed="false">
      <c r="A59" s="6" t="s">
        <v>107</v>
      </c>
      <c r="B59" s="6" t="s">
        <v>87</v>
      </c>
      <c r="C59" s="12" t="n">
        <v>27681.4452339111</v>
      </c>
      <c r="D59" s="12" t="n">
        <v>27681.4445339533</v>
      </c>
      <c r="E59" s="7" t="n">
        <f aca="false">IF(D59="","",IF(D59=C59,15,MIN(15,-LOG10(ABS(D59-C59)/ABS(C59)))))</f>
        <v>7.59711690322415</v>
      </c>
      <c r="F59" s="12" t="n">
        <v>7466.01839769476</v>
      </c>
      <c r="G59" s="12" t="n">
        <v>7466.03010438191</v>
      </c>
      <c r="H59" s="7" t="n">
        <f aca="false">IF(G59="","",IF(G59=F59,15,MIN(15,-LOG10(ABS(G59-F59)/ABS(F59)))))</f>
        <v>5.80465504337613</v>
      </c>
    </row>
    <row r="60" customFormat="false" ht="15" hidden="false" customHeight="true" outlineLevel="0" collapsed="false">
      <c r="A60" s="6" t="s">
        <v>107</v>
      </c>
      <c r="B60" s="6" t="s">
        <v>88</v>
      </c>
      <c r="C60" s="12" t="n">
        <v>0.0207433872114843</v>
      </c>
      <c r="D60" s="12" t="n">
        <v>0.0207433876315922</v>
      </c>
      <c r="E60" s="7" t="n">
        <f aca="false">IF(D60="","",IF(D60=C60,15,MIN(15,-LOG10(ABS(D60-C60)/ABS(C60)))))</f>
        <v>7.69351882604668</v>
      </c>
      <c r="F60" s="12" t="n">
        <v>0.00442155520067321</v>
      </c>
      <c r="G60" s="12" t="n">
        <v>0.00442155579520406</v>
      </c>
      <c r="H60" s="7" t="n">
        <f aca="false">IF(G60="","",IF(G60=F60,15,MIN(15,-LOG10(ABS(G60-F60)/ABS(F60)))))</f>
        <v>6.87140065582252</v>
      </c>
    </row>
    <row r="61" customFormat="false" ht="15" hidden="false" customHeight="true" outlineLevel="0" collapsed="false">
      <c r="A61" s="6" t="s">
        <v>107</v>
      </c>
      <c r="B61" s="6" t="s">
        <v>93</v>
      </c>
      <c r="C61" s="12" t="n">
        <v>0.00248212473249174</v>
      </c>
      <c r="D61" s="12" t="n">
        <v>0.00248212460286303</v>
      </c>
      <c r="E61" s="7" t="n">
        <f aca="false">IF(D61="","",IF(D61=C61,15,MIN(15,-LOG10(ABS(D61-C61)/ABS(C61)))))</f>
        <v>7.28212240247134</v>
      </c>
      <c r="F61" s="12" t="n">
        <v>0.00139914634579225</v>
      </c>
      <c r="G61" s="12" t="n">
        <v>0.00139914740490387</v>
      </c>
      <c r="H61" s="7" t="n">
        <f aca="false">IF(G61="","",IF(G61=F61,15,MIN(15,-LOG10(ABS(G61-F61)/ABS(F61)))))</f>
        <v>6.12092140962873</v>
      </c>
    </row>
    <row r="62" customFormat="false" ht="15" hidden="false" customHeight="true" outlineLevel="0" collapsed="false">
      <c r="A62" s="6" t="s">
        <v>107</v>
      </c>
      <c r="B62" s="6" t="s">
        <v>47</v>
      </c>
      <c r="C62" s="12" t="n">
        <v>16272927.6025653</v>
      </c>
      <c r="D62" s="12" t="n">
        <v>16272927.6025653</v>
      </c>
      <c r="E62" s="7" t="n">
        <f aca="false">IF(D62="","",IF(D62=C62,15,MIN(15,-LOG10(ABS(D62-C62)/ABS(C62)))))</f>
        <v>15</v>
      </c>
      <c r="F62" s="12"/>
      <c r="G62" s="12"/>
      <c r="H6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4" min="3" style="1" width="2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17.25" hidden="false" customHeight="true" outlineLevel="0" collapsed="false">
      <c r="A1" s="2" t="s">
        <v>108</v>
      </c>
    </row>
    <row r="2" customFormat="false" ht="15" hidden="false" customHeight="true" outlineLevel="0" collapsed="false">
      <c r="A2" s="3" t="s">
        <v>109</v>
      </c>
    </row>
    <row r="3" customFormat="false" ht="15" hidden="false" customHeight="true" outlineLevel="0" collapsed="false">
      <c r="A3" s="3" t="s">
        <v>110</v>
      </c>
    </row>
    <row r="5" customFormat="false" ht="30" hidden="false" customHeight="true" outlineLevel="0" collapsed="false">
      <c r="A5" s="4" t="s">
        <v>111</v>
      </c>
      <c r="B5" s="4" t="s">
        <v>35</v>
      </c>
      <c r="C5" s="4" t="s">
        <v>112</v>
      </c>
      <c r="D5" s="4" t="s">
        <v>37</v>
      </c>
      <c r="E5" s="4" t="s">
        <v>38</v>
      </c>
      <c r="F5" s="4" t="s">
        <v>113</v>
      </c>
      <c r="G5" s="4" t="s">
        <v>114</v>
      </c>
    </row>
    <row r="6" customFormat="false" ht="15" hidden="false" customHeight="true" outlineLevel="0" collapsed="false">
      <c r="A6" s="6" t="s">
        <v>115</v>
      </c>
      <c r="B6" s="6" t="s">
        <v>116</v>
      </c>
      <c r="C6" s="12" t="n">
        <v>-17.4121999635253</v>
      </c>
      <c r="D6" s="12" t="n">
        <v>-17.4121999635253</v>
      </c>
      <c r="E6" s="7" t="n">
        <f aca="false">IF(D6="","",IF(D6=C6,15,MIN(15,-LOG10(ABS(D6-C6)/ABS(C6)))))</f>
        <v>15</v>
      </c>
      <c r="F6" s="13" t="n">
        <v>-17.02</v>
      </c>
      <c r="G6" s="14" t="n">
        <f aca="false">IF(F6="","",(D6-F6)/ABS(F6))</f>
        <v>-0.0230434761178202</v>
      </c>
    </row>
    <row r="7" customFormat="false" ht="15" hidden="false" customHeight="true" outlineLevel="0" collapsed="false">
      <c r="A7" s="6" t="s">
        <v>115</v>
      </c>
      <c r="B7" s="6" t="s">
        <v>44</v>
      </c>
      <c r="C7" s="12" t="n">
        <v>17.0662128812905</v>
      </c>
      <c r="D7" s="12" t="n">
        <v>17.0662128812905</v>
      </c>
      <c r="E7" s="7" t="n">
        <f aca="false">IF(D7="","",IF(D7=C7,15,MIN(15,-LOG10(ABS(D7-C7)/ABS(C7)))))</f>
        <v>15</v>
      </c>
      <c r="F7" s="13" t="n">
        <v>17.05</v>
      </c>
      <c r="G7" s="14" t="n">
        <f aca="false">IF(F7="","",(D7-F7)/ABS(F7))</f>
        <v>0.000950902128475049</v>
      </c>
    </row>
    <row r="8" customFormat="false" ht="15" hidden="false" customHeight="true" outlineLevel="0" collapsed="false">
      <c r="A8" s="6" t="s">
        <v>115</v>
      </c>
      <c r="B8" s="6" t="s">
        <v>117</v>
      </c>
      <c r="C8" s="12" t="n">
        <v>20.510594091654</v>
      </c>
      <c r="D8" s="12" t="n">
        <v>20.510594091654</v>
      </c>
      <c r="E8" s="7" t="n">
        <f aca="false">IF(D8="","",IF(D8=C8,15,MIN(15,-LOG10(ABS(D8-C8)/ABS(C8)))))</f>
        <v>15</v>
      </c>
      <c r="F8" s="13"/>
      <c r="G8" s="14" t="str">
        <f aca="false">IF(F8="","",(D8-F8)/ABS(F8))</f>
        <v/>
      </c>
    </row>
    <row r="9" customFormat="false" ht="15" hidden="false" customHeight="true" outlineLevel="0" collapsed="false">
      <c r="A9" s="6" t="s">
        <v>115</v>
      </c>
      <c r="B9" s="6" t="s">
        <v>118</v>
      </c>
      <c r="C9" s="12" t="n">
        <v>0.892787848886786</v>
      </c>
      <c r="D9" s="12" t="n">
        <v>0.892787848886786</v>
      </c>
      <c r="E9" s="7" t="n">
        <f aca="false">IF(D9="","",IF(D9=C9,15,MIN(15,-LOG10(ABS(D9-C9)/ABS(C9)))))</f>
        <v>15</v>
      </c>
      <c r="F9" s="13"/>
      <c r="G9" s="14" t="str">
        <f aca="false">IF(F9="","",(D9-F9)/ABS(F9))</f>
        <v/>
      </c>
    </row>
    <row r="10" customFormat="false" ht="15" hidden="false" customHeight="true" outlineLevel="0" collapsed="false">
      <c r="A10" s="6" t="s">
        <v>115</v>
      </c>
      <c r="B10" s="6" t="s">
        <v>119</v>
      </c>
      <c r="C10" s="12" t="n">
        <v>101.84672000705</v>
      </c>
      <c r="D10" s="12" t="n">
        <v>101.84672000705</v>
      </c>
      <c r="E10" s="7" t="n">
        <f aca="false">IF(D10="","",IF(D10=C10,15,MIN(15,-LOG10(ABS(D10-C10)/ABS(C10)))))</f>
        <v>15</v>
      </c>
      <c r="F10" s="13"/>
      <c r="G10" s="14" t="str">
        <f aca="false">IF(F10="","",(D10-F10)/ABS(F10))</f>
        <v/>
      </c>
    </row>
    <row r="11" customFormat="false" ht="15" hidden="false" customHeight="true" outlineLevel="0" collapsed="false">
      <c r="A11" s="6" t="s">
        <v>120</v>
      </c>
      <c r="B11" s="6" t="s">
        <v>116</v>
      </c>
      <c r="C11" s="12" t="n">
        <v>-37.9818426905386</v>
      </c>
      <c r="D11" s="12" t="n">
        <v>-37.9818427064689</v>
      </c>
      <c r="E11" s="7" t="n">
        <f aca="false">IF(D11="","",IF(D11=C11,15,MIN(15,-LOG10(ABS(D11-C11)/ABS(C11)))))</f>
        <v>9.37735196205364</v>
      </c>
      <c r="F11" s="13" t="n">
        <v>-37.36</v>
      </c>
      <c r="G11" s="14" t="n">
        <f aca="false">IF(F11="","",(D11-F11)/ABS(F11))</f>
        <v>-0.0166446120575188</v>
      </c>
    </row>
    <row r="12" customFormat="false" ht="15" hidden="false" customHeight="true" outlineLevel="0" collapsed="false">
      <c r="A12" s="6" t="s">
        <v>120</v>
      </c>
      <c r="B12" s="6" t="s">
        <v>44</v>
      </c>
      <c r="C12" s="12" t="n">
        <v>18.1800977073078</v>
      </c>
      <c r="D12" s="12" t="n">
        <v>18.1800977083708</v>
      </c>
      <c r="E12" s="7" t="n">
        <f aca="false">IF(D12="","",IF(D12=C12,15,MIN(15,-LOG10(ABS(D12-C12)/ABS(C12)))))</f>
        <v>10.2330642551336</v>
      </c>
      <c r="F12" s="13" t="n">
        <v>18.16</v>
      </c>
      <c r="G12" s="14" t="n">
        <f aca="false">IF(F12="","",(D12-F12)/ABS(F12))</f>
        <v>0.00110670200279726</v>
      </c>
    </row>
    <row r="13" customFormat="false" ht="15" hidden="false" customHeight="true" outlineLevel="0" collapsed="false">
      <c r="A13" s="6" t="s">
        <v>120</v>
      </c>
      <c r="B13" s="6" t="s">
        <v>117</v>
      </c>
      <c r="C13" s="12" t="n">
        <v>12.2340209929725</v>
      </c>
      <c r="D13" s="12" t="n">
        <v>12.2340209924782</v>
      </c>
      <c r="E13" s="7" t="n">
        <f aca="false">IF(D13="","",IF(D13=C13,15,MIN(15,-LOG10(ABS(D13-C13)/ABS(C13)))))</f>
        <v>10.3935788637283</v>
      </c>
      <c r="F13" s="13" t="n">
        <v>12.21</v>
      </c>
      <c r="G13" s="14" t="n">
        <f aca="false">IF(F13="","",(D13-F13)/ABS(F13))</f>
        <v>0.00196732125128578</v>
      </c>
    </row>
    <row r="14" customFormat="false" ht="15" hidden="false" customHeight="true" outlineLevel="0" collapsed="false">
      <c r="A14" s="6" t="s">
        <v>120</v>
      </c>
      <c r="B14" s="6" t="s">
        <v>118</v>
      </c>
      <c r="C14" s="12" t="n">
        <v>0.947138176344852</v>
      </c>
      <c r="D14" s="12" t="n">
        <v>0.947138176340615</v>
      </c>
      <c r="E14" s="7" t="n">
        <f aca="false">IF(D14="","",IF(D14=C14,15,MIN(15,-LOG10(ABS(D14-C14)/ABS(C14)))))</f>
        <v>11.3493606049466</v>
      </c>
      <c r="F14" s="13" t="n">
        <v>0.95</v>
      </c>
      <c r="G14" s="14" t="n">
        <f aca="false">IF(F14="","",(D14-F14)/ABS(F14))</f>
        <v>-0.00301244595724729</v>
      </c>
    </row>
    <row r="15" customFormat="false" ht="15" hidden="false" customHeight="true" outlineLevel="0" collapsed="false">
      <c r="A15" s="6" t="s">
        <v>120</v>
      </c>
      <c r="B15" s="6" t="s">
        <v>119</v>
      </c>
      <c r="C15" s="12" t="n">
        <v>0.277201590719957</v>
      </c>
      <c r="D15" s="12" t="n">
        <v>0.277201590719056</v>
      </c>
      <c r="E15" s="7" t="n">
        <f aca="false">IF(D15="","",IF(D15=C15,15,MIN(15,-LOG10(ABS(D15-C15)/ABS(C15)))))</f>
        <v>11.4880702062486</v>
      </c>
      <c r="F15" s="13" t="n">
        <v>0.27</v>
      </c>
      <c r="G15" s="14" t="n">
        <f aca="false">IF(F15="","",(D15-F15)/ABS(F15))</f>
        <v>0.0266725582187258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6"/>
    <col collapsed="false" customWidth="true" hidden="false" outlineLevel="0" max="9" min="8" style="1" width="13"/>
    <col collapsed="false" customWidth="true" hidden="false" outlineLevel="0" max="10" min="10" style="1" width="8"/>
    <col collapsed="false" customWidth="true" hidden="false" outlineLevel="0" max="11" min="11" style="1" width="13"/>
  </cols>
  <sheetData>
    <row r="1" customFormat="false" ht="17.25" hidden="false" customHeight="true" outlineLevel="0" collapsed="false">
      <c r="A1" s="2" t="s">
        <v>121</v>
      </c>
    </row>
    <row r="2" customFormat="false" ht="15" hidden="false" customHeight="true" outlineLevel="0" collapsed="false">
      <c r="A2" s="3" t="s">
        <v>122</v>
      </c>
    </row>
    <row r="3" customFormat="false" ht="15" hidden="false" customHeight="true" outlineLevel="0" collapsed="false">
      <c r="A3" s="3" t="s">
        <v>123</v>
      </c>
    </row>
    <row r="5" customFormat="false" ht="30" hidden="false" customHeight="true" outlineLevel="0" collapsed="false">
      <c r="A5" s="4" t="s">
        <v>124</v>
      </c>
      <c r="B5" s="4" t="s">
        <v>84</v>
      </c>
      <c r="C5" s="4" t="s">
        <v>125</v>
      </c>
      <c r="D5" s="4" t="s">
        <v>126</v>
      </c>
      <c r="E5" s="4" t="s">
        <v>127</v>
      </c>
      <c r="F5" s="4" t="s">
        <v>37</v>
      </c>
      <c r="G5" s="4" t="s">
        <v>40</v>
      </c>
      <c r="H5" s="4" t="s">
        <v>128</v>
      </c>
      <c r="I5" s="4" t="s">
        <v>129</v>
      </c>
      <c r="J5" s="4" t="s">
        <v>130</v>
      </c>
      <c r="K5" s="4" t="s">
        <v>131</v>
      </c>
    </row>
    <row r="6" customFormat="false" ht="15" hidden="false" customHeight="true" outlineLevel="0" collapsed="false">
      <c r="A6" s="6" t="s">
        <v>132</v>
      </c>
      <c r="B6" s="6" t="s">
        <v>133</v>
      </c>
      <c r="C6" s="6" t="s">
        <v>134</v>
      </c>
      <c r="D6" s="13" t="n">
        <v>2.597</v>
      </c>
      <c r="E6" s="13" t="n">
        <v>0.144</v>
      </c>
      <c r="F6" s="15" t="n">
        <v>2.60809735295</v>
      </c>
      <c r="G6" s="15" t="n">
        <v>0.13665183856</v>
      </c>
      <c r="H6" s="14" t="n">
        <f aca="false">(F6-D6)/ABS(D6)</f>
        <v>0.00427314322294948</v>
      </c>
      <c r="I6" s="11" t="n">
        <f aca="false">(F6-D6)/E6</f>
        <v>0.0770649510416653</v>
      </c>
      <c r="J6" s="11" t="n">
        <f aca="false">ABS(I6)</f>
        <v>0.0770649510416653</v>
      </c>
      <c r="K6" s="14" t="n">
        <f aca="false">(G6-E6)/E6</f>
        <v>-0.0510288988888889</v>
      </c>
    </row>
    <row r="7" customFormat="false" ht="15" hidden="false" customHeight="true" outlineLevel="0" collapsed="false">
      <c r="A7" s="6" t="s">
        <v>132</v>
      </c>
      <c r="B7" s="6" t="s">
        <v>133</v>
      </c>
      <c r="C7" s="6" t="s">
        <v>135</v>
      </c>
      <c r="D7" s="13" t="n">
        <v>48.0058</v>
      </c>
      <c r="E7" s="13" t="n">
        <v>15.139</v>
      </c>
      <c r="F7" s="15" t="n">
        <v>42.7807350943</v>
      </c>
      <c r="G7" s="15" t="n">
        <v>12.9666698375</v>
      </c>
      <c r="H7" s="14" t="n">
        <f aca="false">(F7-D7)/ABS(D7)</f>
        <v>-0.108842367082728</v>
      </c>
      <c r="I7" s="11" t="n">
        <f aca="false">(F7-D7)/E7</f>
        <v>-0.345139368894907</v>
      </c>
      <c r="J7" s="11" t="n">
        <f aca="false">ABS(I7)</f>
        <v>0.345139368894907</v>
      </c>
      <c r="K7" s="14" t="n">
        <f aca="false">(G7-E7)/E7</f>
        <v>-0.143492315377502</v>
      </c>
    </row>
    <row r="8" customFormat="false" ht="15" hidden="false" customHeight="true" outlineLevel="0" collapsed="false">
      <c r="A8" s="6" t="s">
        <v>132</v>
      </c>
      <c r="B8" s="6" t="s">
        <v>133</v>
      </c>
      <c r="C8" s="6" t="s">
        <v>136</v>
      </c>
      <c r="D8" s="13" t="n">
        <v>0.0153</v>
      </c>
      <c r="E8" s="13" t="n">
        <v>0.000586</v>
      </c>
      <c r="F8" s="15" t="n">
        <v>0.0148215626351</v>
      </c>
      <c r="G8" s="15" t="n">
        <v>0.000430948252732</v>
      </c>
      <c r="H8" s="14" t="n">
        <f aca="false">(F8-D8)/ABS(D8)</f>
        <v>-0.0312704160065359</v>
      </c>
      <c r="I8" s="11" t="n">
        <f aca="false">(F8-D8)/E8</f>
        <v>-0.816446015187712</v>
      </c>
      <c r="J8" s="11" t="n">
        <f aca="false">ABS(I8)</f>
        <v>0.816446015187712</v>
      </c>
      <c r="K8" s="14" t="n">
        <f aca="false">(G8-E8)/E8</f>
        <v>-0.264593425372014</v>
      </c>
    </row>
    <row r="9" customFormat="false" ht="15" hidden="false" customHeight="true" outlineLevel="0" collapsed="false">
      <c r="A9" s="6" t="s">
        <v>132</v>
      </c>
      <c r="B9" s="6" t="s">
        <v>133</v>
      </c>
      <c r="C9" s="6" t="s">
        <v>137</v>
      </c>
      <c r="D9" s="13" t="n">
        <v>8.658</v>
      </c>
      <c r="E9" s="13" t="n">
        <v>0.104</v>
      </c>
      <c r="F9" s="15" t="n">
        <v>8.59546967047</v>
      </c>
      <c r="G9" s="15" t="n">
        <v>0.0829694659632</v>
      </c>
      <c r="H9" s="14" t="n">
        <f aca="false">(F9-D9)/ABS(D9)</f>
        <v>-0.00722226028297512</v>
      </c>
      <c r="I9" s="11" t="n">
        <f aca="false">(F9-D9)/E9</f>
        <v>-0.601253168557679</v>
      </c>
      <c r="J9" s="11" t="n">
        <f aca="false">ABS(I9)</f>
        <v>0.601253168557679</v>
      </c>
      <c r="K9" s="14" t="n">
        <f aca="false">(G9-E9)/E9</f>
        <v>-0.202216673430769</v>
      </c>
    </row>
    <row r="10" customFormat="false" ht="15" hidden="false" customHeight="true" outlineLevel="0" collapsed="false">
      <c r="A10" s="6" t="s">
        <v>132</v>
      </c>
      <c r="B10" s="6" t="s">
        <v>133</v>
      </c>
      <c r="C10" s="6" t="s">
        <v>138</v>
      </c>
      <c r="D10" s="13" t="n">
        <v>0.166</v>
      </c>
      <c r="E10" s="13"/>
      <c r="F10" s="15" t="n">
        <v>0.150041790765</v>
      </c>
      <c r="G10" s="15"/>
      <c r="H10" s="14" t="n">
        <f aca="false">(F10-D10)/ABS(D10)</f>
        <v>-0.0961337905722893</v>
      </c>
      <c r="I10" s="11"/>
      <c r="J10" s="11"/>
      <c r="K10" s="14"/>
    </row>
    <row r="11" customFormat="false" ht="15" hidden="false" customHeight="true" outlineLevel="0" collapsed="false">
      <c r="A11" s="6" t="s">
        <v>132</v>
      </c>
      <c r="B11" s="6" t="s">
        <v>133</v>
      </c>
      <c r="C11" s="6" t="s">
        <v>139</v>
      </c>
      <c r="D11" s="13" t="n">
        <v>0.994</v>
      </c>
      <c r="E11" s="13"/>
      <c r="F11" s="15" t="n">
        <v>0.995287892453</v>
      </c>
      <c r="G11" s="15"/>
      <c r="H11" s="14" t="n">
        <f aca="false">(F11-D11)/ABS(D11)</f>
        <v>0.00129566645171025</v>
      </c>
      <c r="I11" s="11"/>
      <c r="J11" s="11"/>
      <c r="K11" s="14"/>
    </row>
    <row r="12" customFormat="false" ht="15" hidden="false" customHeight="true" outlineLevel="0" collapsed="false">
      <c r="A12" s="6" t="s">
        <v>140</v>
      </c>
      <c r="B12" s="6" t="s">
        <v>133</v>
      </c>
      <c r="C12" s="6" t="s">
        <v>134</v>
      </c>
      <c r="D12" s="13" t="n">
        <v>3.515</v>
      </c>
      <c r="E12" s="13" t="n">
        <v>0.509</v>
      </c>
      <c r="F12" s="15" t="n">
        <v>3.46515974116</v>
      </c>
      <c r="G12" s="15" t="n">
        <v>0.500906790549</v>
      </c>
      <c r="H12" s="14" t="n">
        <f aca="false">(F12-D12)/ABS(D12)</f>
        <v>-0.0141793055021338</v>
      </c>
      <c r="I12" s="11" t="n">
        <f aca="false">(F12-D12)/E12</f>
        <v>-0.0979179937917489</v>
      </c>
      <c r="J12" s="11" t="n">
        <f aca="false">ABS(I12)</f>
        <v>0.0979179937917489</v>
      </c>
      <c r="K12" s="14" t="n">
        <f aca="false">(G12-E12)/E12</f>
        <v>-0.0159002150314342</v>
      </c>
    </row>
    <row r="13" customFormat="false" ht="15" hidden="false" customHeight="true" outlineLevel="0" collapsed="false">
      <c r="A13" s="6" t="s">
        <v>140</v>
      </c>
      <c r="B13" s="6" t="s">
        <v>133</v>
      </c>
      <c r="C13" s="6" t="s">
        <v>135</v>
      </c>
      <c r="D13" s="13" t="n">
        <v>119.611</v>
      </c>
      <c r="E13" s="13" t="n">
        <v>56.452</v>
      </c>
      <c r="F13" s="15" t="n">
        <v>107.010476974</v>
      </c>
      <c r="G13" s="15" t="n">
        <v>53.2452775333</v>
      </c>
      <c r="H13" s="14" t="n">
        <f aca="false">(F13-D13)/ABS(D13)</f>
        <v>-0.105345854695638</v>
      </c>
      <c r="I13" s="11" t="n">
        <f aca="false">(F13-D13)/E13</f>
        <v>-0.223207734464678</v>
      </c>
      <c r="J13" s="11" t="n">
        <f aca="false">ABS(I13)</f>
        <v>0.223207734464678</v>
      </c>
      <c r="K13" s="14" t="n">
        <f aca="false">(G13-E13)/E13</f>
        <v>-0.0568044084655991</v>
      </c>
    </row>
    <row r="14" customFormat="false" ht="15" hidden="false" customHeight="true" outlineLevel="0" collapsed="false">
      <c r="A14" s="6" t="s">
        <v>140</v>
      </c>
      <c r="B14" s="6" t="s">
        <v>133</v>
      </c>
      <c r="C14" s="6" t="s">
        <v>136</v>
      </c>
      <c r="D14" s="13" t="n">
        <v>0.0157</v>
      </c>
      <c r="E14" s="13" t="n">
        <v>0.00314</v>
      </c>
      <c r="F14" s="15" t="n">
        <v>0.015103739381</v>
      </c>
      <c r="G14" s="15" t="n">
        <v>0.00268085505299</v>
      </c>
      <c r="H14" s="14" t="n">
        <f aca="false">(F14-D14)/ABS(D14)</f>
        <v>-0.0379783833757961</v>
      </c>
      <c r="I14" s="11" t="n">
        <f aca="false">(F14-D14)/E14</f>
        <v>-0.18989191687898</v>
      </c>
      <c r="J14" s="11" t="n">
        <f aca="false">ABS(I14)</f>
        <v>0.18989191687898</v>
      </c>
      <c r="K14" s="14" t="n">
        <f aca="false">(G14-E14)/E14</f>
        <v>-0.146224505417197</v>
      </c>
    </row>
    <row r="15" customFormat="false" ht="15" hidden="false" customHeight="true" outlineLevel="0" collapsed="false">
      <c r="A15" s="6" t="s">
        <v>140</v>
      </c>
      <c r="B15" s="6" t="s">
        <v>133</v>
      </c>
      <c r="C15" s="6" t="s">
        <v>137</v>
      </c>
      <c r="D15" s="13" t="n">
        <v>8.645</v>
      </c>
      <c r="E15" s="13" t="n">
        <v>0.298</v>
      </c>
      <c r="F15" s="15" t="n">
        <v>8.64683990431</v>
      </c>
      <c r="G15" s="15" t="n">
        <v>0.287228127739</v>
      </c>
      <c r="H15" s="14" t="n">
        <f aca="false">(F15-D15)/ABS(D15)</f>
        <v>0.000212828722961214</v>
      </c>
      <c r="I15" s="11" t="n">
        <f aca="false">(F15-D15)/E15</f>
        <v>0.00617417553691173</v>
      </c>
      <c r="J15" s="11" t="n">
        <f aca="false">ABS(I15)</f>
        <v>0.00617417553691173</v>
      </c>
      <c r="K15" s="14" t="n">
        <f aca="false">(G15-E15)/E15</f>
        <v>-0.0361472223523489</v>
      </c>
    </row>
    <row r="16" customFormat="false" ht="15" hidden="false" customHeight="true" outlineLevel="0" collapsed="false">
      <c r="A16" s="6" t="s">
        <v>140</v>
      </c>
      <c r="B16" s="6" t="s">
        <v>133</v>
      </c>
      <c r="C16" s="6" t="s">
        <v>138</v>
      </c>
      <c r="D16" s="13" t="n">
        <v>0.631</v>
      </c>
      <c r="E16" s="13"/>
      <c r="F16" s="15" t="n">
        <v>0.627462923623</v>
      </c>
      <c r="G16" s="15"/>
      <c r="H16" s="14" t="n">
        <f aca="false">(F16-D16)/ABS(D16)</f>
        <v>-0.00560550931378757</v>
      </c>
      <c r="I16" s="11"/>
      <c r="J16" s="11"/>
      <c r="K16" s="14"/>
    </row>
    <row r="17" customFormat="false" ht="15" hidden="false" customHeight="true" outlineLevel="0" collapsed="false">
      <c r="A17" s="6" t="s">
        <v>140</v>
      </c>
      <c r="B17" s="6" t="s">
        <v>133</v>
      </c>
      <c r="C17" s="6" t="s">
        <v>139</v>
      </c>
      <c r="D17" s="13" t="n">
        <v>0.872</v>
      </c>
      <c r="E17" s="13"/>
      <c r="F17" s="15" t="n">
        <v>0.873837636694</v>
      </c>
      <c r="G17" s="15"/>
      <c r="H17" s="14" t="n">
        <f aca="false">(F17-D17)/ABS(D17)</f>
        <v>0.00210738152981658</v>
      </c>
      <c r="I17" s="11"/>
      <c r="J17" s="11"/>
      <c r="K17" s="14"/>
    </row>
    <row r="18" customFormat="false" ht="15" hidden="false" customHeight="true" outlineLevel="0" collapsed="false">
      <c r="A18" s="6" t="s">
        <v>141</v>
      </c>
      <c r="B18" s="6" t="s">
        <v>133</v>
      </c>
      <c r="C18" s="6" t="s">
        <v>134</v>
      </c>
      <c r="D18" s="13" t="n">
        <v>3.194</v>
      </c>
      <c r="E18" s="13" t="n">
        <v>0.119</v>
      </c>
      <c r="F18" s="15" t="n">
        <v>3.21143044609</v>
      </c>
      <c r="G18" s="15" t="n">
        <v>0.118197886461</v>
      </c>
      <c r="H18" s="14" t="n">
        <f aca="false">(F18-D18)/ABS(D18)</f>
        <v>0.00545724674076397</v>
      </c>
      <c r="I18" s="11" t="n">
        <f aca="false">(F18-D18)/E18</f>
        <v>0.146474336890757</v>
      </c>
      <c r="J18" s="11" t="n">
        <f aca="false">ABS(I18)</f>
        <v>0.146474336890757</v>
      </c>
      <c r="K18" s="14" t="n">
        <f aca="false">(G18-E18)/E18</f>
        <v>-0.00674044990756295</v>
      </c>
    </row>
    <row r="19" customFormat="false" ht="15" hidden="false" customHeight="true" outlineLevel="0" collapsed="false">
      <c r="A19" s="6" t="s">
        <v>141</v>
      </c>
      <c r="B19" s="6" t="s">
        <v>133</v>
      </c>
      <c r="C19" s="6" t="s">
        <v>135</v>
      </c>
      <c r="D19" s="13" t="n">
        <v>68.295</v>
      </c>
      <c r="E19" s="13" t="n">
        <v>14.223</v>
      </c>
      <c r="F19" s="15" t="n">
        <v>66.5072152136</v>
      </c>
      <c r="G19" s="15" t="n">
        <v>13.7526036602</v>
      </c>
      <c r="H19" s="14" t="n">
        <f aca="false">(F19-D19)/ABS(D19)</f>
        <v>-0.0261773890680137</v>
      </c>
      <c r="I19" s="11" t="n">
        <f aca="false">(F19-D19)/E19</f>
        <v>-0.125696743753076</v>
      </c>
      <c r="J19" s="11" t="n">
        <f aca="false">ABS(I19)</f>
        <v>0.125696743753076</v>
      </c>
      <c r="K19" s="14" t="n">
        <f aca="false">(G19-E19)/E19</f>
        <v>-0.0330729339661113</v>
      </c>
    </row>
    <row r="20" customFormat="false" ht="15" hidden="false" customHeight="true" outlineLevel="0" collapsed="false">
      <c r="A20" s="6" t="s">
        <v>141</v>
      </c>
      <c r="B20" s="6" t="s">
        <v>133</v>
      </c>
      <c r="C20" s="6" t="s">
        <v>136</v>
      </c>
      <c r="D20" s="13" t="n">
        <v>0.0173</v>
      </c>
      <c r="E20" s="13" t="n">
        <v>0.00142</v>
      </c>
      <c r="F20" s="15" t="n">
        <v>0.016948462908</v>
      </c>
      <c r="G20" s="15" t="n">
        <v>0.00132034919446</v>
      </c>
      <c r="H20" s="14" t="n">
        <f aca="false">(F20-D20)/ABS(D20)</f>
        <v>-0.0203200631213873</v>
      </c>
      <c r="I20" s="11" t="n">
        <f aca="false">(F20-D20)/E20</f>
        <v>-0.247561332394366</v>
      </c>
      <c r="J20" s="11" t="n">
        <f aca="false">ABS(I20)</f>
        <v>0.247561332394366</v>
      </c>
      <c r="K20" s="14" t="n">
        <f aca="false">(G20-E20)/E20</f>
        <v>-0.0701766236197184</v>
      </c>
    </row>
    <row r="21" customFormat="false" ht="15" hidden="false" customHeight="true" outlineLevel="0" collapsed="false">
      <c r="A21" s="6" t="s">
        <v>141</v>
      </c>
      <c r="B21" s="6" t="s">
        <v>133</v>
      </c>
      <c r="C21" s="6" t="s">
        <v>137</v>
      </c>
      <c r="D21" s="13" t="n">
        <v>7.695</v>
      </c>
      <c r="E21" s="13" t="n">
        <v>0.0979</v>
      </c>
      <c r="F21" s="15" t="n">
        <v>7.69479057544</v>
      </c>
      <c r="G21" s="15" t="n">
        <v>0.0971134150247</v>
      </c>
      <c r="H21" s="14" t="n">
        <f aca="false">(F21-D21)/ABS(D21)</f>
        <v>-2.72156673164903E-005</v>
      </c>
      <c r="I21" s="11" t="n">
        <f aca="false">(F21-D21)/E21</f>
        <v>-0.00213916813074967</v>
      </c>
      <c r="J21" s="11" t="n">
        <f aca="false">ABS(I21)</f>
        <v>0.00213916813074967</v>
      </c>
      <c r="K21" s="14" t="n">
        <f aca="false">(G21-E21)/E21</f>
        <v>-0.00803457584576098</v>
      </c>
    </row>
    <row r="22" customFormat="false" ht="15" hidden="false" customHeight="true" outlineLevel="0" collapsed="false">
      <c r="A22" s="6" t="s">
        <v>141</v>
      </c>
      <c r="B22" s="6" t="s">
        <v>133</v>
      </c>
      <c r="C22" s="6" t="s">
        <v>138</v>
      </c>
      <c r="D22" s="13" t="n">
        <v>0.212</v>
      </c>
      <c r="E22" s="13"/>
      <c r="F22" s="15" t="n">
        <v>0.211575775221</v>
      </c>
      <c r="G22" s="15"/>
      <c r="H22" s="14" t="n">
        <f aca="false">(F22-D22)/ABS(D22)</f>
        <v>-0.00200106027830191</v>
      </c>
      <c r="I22" s="11"/>
      <c r="J22" s="11"/>
      <c r="K22" s="14"/>
    </row>
    <row r="23" customFormat="false" ht="15" hidden="false" customHeight="true" outlineLevel="0" collapsed="false">
      <c r="A23" s="6" t="s">
        <v>141</v>
      </c>
      <c r="B23" s="6" t="s">
        <v>133</v>
      </c>
      <c r="C23" s="6" t="s">
        <v>139</v>
      </c>
      <c r="D23" s="13" t="n">
        <v>0.984</v>
      </c>
      <c r="E23" s="13"/>
      <c r="F23" s="15" t="n">
        <v>0.983937110112</v>
      </c>
      <c r="G23" s="15"/>
      <c r="H23" s="14" t="n">
        <f aca="false">(F23-D23)/ABS(D23)</f>
        <v>-6.39124878048392E-005</v>
      </c>
      <c r="I23" s="11"/>
      <c r="J23" s="11"/>
      <c r="K23" s="14"/>
    </row>
    <row r="24" customFormat="false" ht="15" hidden="false" customHeight="true" outlineLevel="0" collapsed="false">
      <c r="A24" s="6" t="s">
        <v>142</v>
      </c>
      <c r="B24" s="6" t="s">
        <v>133</v>
      </c>
      <c r="C24" s="6" t="s">
        <v>134</v>
      </c>
      <c r="D24" s="13" t="n">
        <v>2.687</v>
      </c>
      <c r="E24" s="13" t="n">
        <v>0.262</v>
      </c>
      <c r="F24" s="15" t="n">
        <v>2.68874125469</v>
      </c>
      <c r="G24" s="15" t="n">
        <v>0.278440365217</v>
      </c>
      <c r="H24" s="14" t="n">
        <f aca="false">(F24-D24)/ABS(D24)</f>
        <v>0.000648029285448528</v>
      </c>
      <c r="I24" s="11" t="n">
        <f aca="false">(F24-D24)/E24</f>
        <v>0.00664601026717631</v>
      </c>
      <c r="J24" s="11" t="n">
        <f aca="false">ABS(I24)</f>
        <v>0.00664601026717631</v>
      </c>
      <c r="K24" s="14" t="n">
        <f aca="false">(G24-E24)/E24</f>
        <v>0.0627494855610686</v>
      </c>
    </row>
    <row r="25" customFormat="false" ht="15" hidden="false" customHeight="true" outlineLevel="0" collapsed="false">
      <c r="A25" s="6" t="s">
        <v>142</v>
      </c>
      <c r="B25" s="6" t="s">
        <v>133</v>
      </c>
      <c r="C25" s="6" t="s">
        <v>135</v>
      </c>
      <c r="D25" s="13" t="n">
        <v>38.413</v>
      </c>
      <c r="E25" s="13" t="n">
        <v>28.303</v>
      </c>
      <c r="F25" s="15" t="n">
        <v>32.3953320533</v>
      </c>
      <c r="G25" s="15" t="n">
        <v>27.5841718263</v>
      </c>
      <c r="H25" s="14" t="n">
        <f aca="false">(F25-D25)/ABS(D25)</f>
        <v>-0.156657067833806</v>
      </c>
      <c r="I25" s="11" t="n">
        <f aca="false">(F25-D25)/E25</f>
        <v>-0.212615904557821</v>
      </c>
      <c r="J25" s="11" t="n">
        <f aca="false">ABS(I25)</f>
        <v>0.212615904557821</v>
      </c>
      <c r="K25" s="14" t="n">
        <f aca="false">(G25-E25)/E25</f>
        <v>-0.0253975964986044</v>
      </c>
    </row>
    <row r="26" customFormat="false" ht="15" hidden="false" customHeight="true" outlineLevel="0" collapsed="false">
      <c r="A26" s="6" t="s">
        <v>142</v>
      </c>
      <c r="B26" s="6" t="s">
        <v>133</v>
      </c>
      <c r="C26" s="6" t="s">
        <v>136</v>
      </c>
      <c r="D26" s="13" t="n">
        <v>0.0158</v>
      </c>
      <c r="E26" s="13" t="n">
        <v>0.00139</v>
      </c>
      <c r="F26" s="15" t="n">
        <v>0.0152409538341</v>
      </c>
      <c r="G26" s="15" t="n">
        <v>0.00116364978021</v>
      </c>
      <c r="H26" s="14" t="n">
        <f aca="false">(F26-D26)/ABS(D26)</f>
        <v>-0.0353826687278482</v>
      </c>
      <c r="I26" s="11" t="n">
        <f aca="false">(F26-D26)/E26</f>
        <v>-0.402191486258993</v>
      </c>
      <c r="J26" s="11" t="n">
        <f aca="false">ABS(I26)</f>
        <v>0.402191486258993</v>
      </c>
      <c r="K26" s="14" t="n">
        <f aca="false">(G26-E26)/E26</f>
        <v>-0.162841884741007</v>
      </c>
    </row>
    <row r="27" customFormat="false" ht="15" hidden="false" customHeight="true" outlineLevel="0" collapsed="false">
      <c r="A27" s="6" t="s">
        <v>142</v>
      </c>
      <c r="B27" s="6" t="s">
        <v>133</v>
      </c>
      <c r="C27" s="6" t="s">
        <v>137</v>
      </c>
      <c r="D27" s="13" t="n">
        <v>8.283</v>
      </c>
      <c r="E27" s="13" t="n">
        <v>0.177</v>
      </c>
      <c r="F27" s="15" t="n">
        <v>8.24985456279</v>
      </c>
      <c r="G27" s="15" t="n">
        <v>0.164931904333</v>
      </c>
      <c r="H27" s="14" t="n">
        <f aca="false">(F27-D27)/ABS(D27)</f>
        <v>-0.00400162226367247</v>
      </c>
      <c r="I27" s="11" t="n">
        <f aca="false">(F27-D27)/E27</f>
        <v>-0.187262357118639</v>
      </c>
      <c r="J27" s="11" t="n">
        <f aca="false">ABS(I27)</f>
        <v>0.187262357118639</v>
      </c>
      <c r="K27" s="14" t="n">
        <f aca="false">(G27-E27)/E27</f>
        <v>-0.0681813314519773</v>
      </c>
    </row>
    <row r="28" customFormat="false" ht="15" hidden="false" customHeight="true" outlineLevel="0" collapsed="false">
      <c r="A28" s="6" t="s">
        <v>142</v>
      </c>
      <c r="B28" s="6" t="s">
        <v>133</v>
      </c>
      <c r="C28" s="6" t="s">
        <v>138</v>
      </c>
      <c r="D28" s="13" t="n">
        <v>0.342</v>
      </c>
      <c r="E28" s="13"/>
      <c r="F28" s="15" t="n">
        <v>0.342536977794</v>
      </c>
      <c r="G28" s="15"/>
      <c r="H28" s="14" t="n">
        <f aca="false">(F28-D28)/ABS(D28)</f>
        <v>0.00157011050877184</v>
      </c>
      <c r="I28" s="11"/>
      <c r="J28" s="11"/>
      <c r="K28" s="14"/>
    </row>
    <row r="29" customFormat="false" ht="15" hidden="false" customHeight="true" outlineLevel="0" collapsed="false">
      <c r="A29" s="6" t="s">
        <v>142</v>
      </c>
      <c r="B29" s="6" t="s">
        <v>133</v>
      </c>
      <c r="C29" s="6" t="s">
        <v>139</v>
      </c>
      <c r="D29" s="13" t="n">
        <v>0.97</v>
      </c>
      <c r="E29" s="13"/>
      <c r="F29" s="15" t="n">
        <v>0.970303656088</v>
      </c>
      <c r="G29" s="15"/>
      <c r="H29" s="14" t="n">
        <f aca="false">(F29-D29)/ABS(D29)</f>
        <v>0.000313047513402043</v>
      </c>
      <c r="I29" s="11"/>
      <c r="J29" s="11"/>
      <c r="K29" s="14"/>
    </row>
    <row r="30" customFormat="false" ht="15" hidden="false" customHeight="true" outlineLevel="0" collapsed="false">
      <c r="A30" s="6" t="s">
        <v>143</v>
      </c>
      <c r="B30" s="6" t="s">
        <v>133</v>
      </c>
      <c r="C30" s="6" t="s">
        <v>134</v>
      </c>
      <c r="D30" s="13" t="n">
        <v>3.906</v>
      </c>
      <c r="E30" s="13" t="n">
        <v>0.108</v>
      </c>
      <c r="F30" s="15" t="n">
        <v>3.93855256653</v>
      </c>
      <c r="G30" s="15" t="n">
        <v>0.102783327827</v>
      </c>
      <c r="H30" s="14" t="n">
        <f aca="false">(F30-D30)/ABS(D30)</f>
        <v>0.00833399040706598</v>
      </c>
      <c r="I30" s="11" t="n">
        <f aca="false">(F30-D30)/E30</f>
        <v>0.301412653055553</v>
      </c>
      <c r="J30" s="11" t="n">
        <f aca="false">ABS(I30)</f>
        <v>0.301412653055553</v>
      </c>
      <c r="K30" s="14" t="n">
        <f aca="false">(G30-E30)/E30</f>
        <v>-0.0483025201203703</v>
      </c>
    </row>
    <row r="31" customFormat="false" ht="15" hidden="false" customHeight="true" outlineLevel="0" collapsed="false">
      <c r="A31" s="6" t="s">
        <v>143</v>
      </c>
      <c r="B31" s="6" t="s">
        <v>133</v>
      </c>
      <c r="C31" s="6" t="s">
        <v>135</v>
      </c>
      <c r="D31" s="13" t="n">
        <v>79.273</v>
      </c>
      <c r="E31" s="13" t="n">
        <v>9.57</v>
      </c>
      <c r="F31" s="15" t="n">
        <v>76.4549876247</v>
      </c>
      <c r="G31" s="15" t="n">
        <v>8.86717306488</v>
      </c>
      <c r="H31" s="14" t="n">
        <f aca="false">(F31-D31)/ABS(D31)</f>
        <v>-0.0355481989492009</v>
      </c>
      <c r="I31" s="11" t="n">
        <f aca="false">(F31-D31)/E31</f>
        <v>-0.294463153113898</v>
      </c>
      <c r="J31" s="11" t="n">
        <f aca="false">ABS(I31)</f>
        <v>0.294463153113898</v>
      </c>
      <c r="K31" s="14" t="n">
        <f aca="false">(G31-E31)/E31</f>
        <v>-0.07344064107837</v>
      </c>
    </row>
    <row r="32" customFormat="false" ht="15" hidden="false" customHeight="true" outlineLevel="0" collapsed="false">
      <c r="A32" s="6" t="s">
        <v>143</v>
      </c>
      <c r="B32" s="6" t="s">
        <v>133</v>
      </c>
      <c r="C32" s="6" t="s">
        <v>136</v>
      </c>
      <c r="D32" s="13" t="n">
        <v>0.0313</v>
      </c>
      <c r="E32" s="13" t="n">
        <v>0.00277</v>
      </c>
      <c r="F32" s="15" t="n">
        <v>0.0300922808452</v>
      </c>
      <c r="G32" s="15" t="n">
        <v>0.0025215297745</v>
      </c>
      <c r="H32" s="14" t="n">
        <f aca="false">(F32-D32)/ABS(D32)</f>
        <v>-0.0385852765111822</v>
      </c>
      <c r="I32" s="11" t="n">
        <f aca="false">(F32-D32)/E32</f>
        <v>-0.435999694873647</v>
      </c>
      <c r="J32" s="11" t="n">
        <f aca="false">ABS(I32)</f>
        <v>0.435999694873647</v>
      </c>
      <c r="K32" s="14" t="n">
        <f aca="false">(G32-E32)/E32</f>
        <v>-0.0897004424187726</v>
      </c>
    </row>
    <row r="33" customFormat="false" ht="15" hidden="false" customHeight="true" outlineLevel="0" collapsed="false">
      <c r="A33" s="6" t="s">
        <v>143</v>
      </c>
      <c r="B33" s="6" t="s">
        <v>133</v>
      </c>
      <c r="C33" s="6" t="s">
        <v>137</v>
      </c>
      <c r="D33" s="13" t="n">
        <v>9.0401</v>
      </c>
      <c r="E33" s="13" t="n">
        <v>0.253</v>
      </c>
      <c r="F33" s="15" t="n">
        <v>9.03730715775</v>
      </c>
      <c r="G33" s="15" t="n">
        <v>0.250281611478</v>
      </c>
      <c r="H33" s="14" t="n">
        <f aca="false">(F33-D33)/ABS(D33)</f>
        <v>-0.00030893930929976</v>
      </c>
      <c r="I33" s="11" t="n">
        <f aca="false">(F33-D33)/E33</f>
        <v>-0.011038902173916</v>
      </c>
      <c r="J33" s="11" t="n">
        <f aca="false">ABS(I33)</f>
        <v>0.011038902173916</v>
      </c>
      <c r="K33" s="14" t="n">
        <f aca="false">(G33-E33)/E33</f>
        <v>-0.0107446186640317</v>
      </c>
    </row>
    <row r="34" customFormat="false" ht="15" hidden="false" customHeight="true" outlineLevel="0" collapsed="false">
      <c r="A34" s="6" t="s">
        <v>143</v>
      </c>
      <c r="B34" s="6" t="s">
        <v>133</v>
      </c>
      <c r="C34" s="6" t="s">
        <v>138</v>
      </c>
      <c r="D34" s="13" t="n">
        <v>0.323</v>
      </c>
      <c r="E34" s="13"/>
      <c r="F34" s="15" t="n">
        <v>0.328146605769</v>
      </c>
      <c r="G34" s="15"/>
      <c r="H34" s="14" t="n">
        <f aca="false">(F34-D34)/ABS(D34)</f>
        <v>0.0159337639907121</v>
      </c>
      <c r="I34" s="11"/>
      <c r="J34" s="11"/>
      <c r="K34" s="14"/>
    </row>
    <row r="35" customFormat="false" ht="15" hidden="false" customHeight="true" outlineLevel="0" collapsed="false">
      <c r="A35" s="6" t="s">
        <v>143</v>
      </c>
      <c r="B35" s="6" t="s">
        <v>133</v>
      </c>
      <c r="C35" s="6" t="s">
        <v>139</v>
      </c>
      <c r="D35" s="13" t="n">
        <v>0.969</v>
      </c>
      <c r="E35" s="13"/>
      <c r="F35" s="15" t="n">
        <v>0.968154733837</v>
      </c>
      <c r="G35" s="15"/>
      <c r="H35" s="14" t="n">
        <f aca="false">(F35-D35)/ABS(D35)</f>
        <v>-0.000872307701754343</v>
      </c>
      <c r="I35" s="11"/>
      <c r="J35" s="11"/>
      <c r="K35" s="14"/>
    </row>
    <row r="36" customFormat="false" ht="15" hidden="false" customHeight="true" outlineLevel="0" collapsed="false">
      <c r="A36" s="6" t="s">
        <v>144</v>
      </c>
      <c r="B36" s="6" t="s">
        <v>133</v>
      </c>
      <c r="C36" s="6" t="s">
        <v>134</v>
      </c>
      <c r="D36" s="13" t="n">
        <v>3.967</v>
      </c>
      <c r="E36" s="13" t="n">
        <v>0.0985</v>
      </c>
      <c r="F36" s="15" t="n">
        <v>3.9669665611</v>
      </c>
      <c r="G36" s="15" t="n">
        <v>0.0980784413412</v>
      </c>
      <c r="H36" s="14" t="n">
        <f aca="false">(F36-D36)/ABS(D36)</f>
        <v>-8.42926644821558E-006</v>
      </c>
      <c r="I36" s="11" t="n">
        <f aca="false">(F36-D36)/E36</f>
        <v>-0.000339481218274835</v>
      </c>
      <c r="J36" s="11" t="n">
        <f aca="false">ABS(I36)</f>
        <v>0.000339481218274835</v>
      </c>
      <c r="K36" s="14" t="n">
        <f aca="false">(G36-E36)/E36</f>
        <v>-0.0042797833380711</v>
      </c>
    </row>
    <row r="37" customFormat="false" ht="15" hidden="false" customHeight="true" outlineLevel="0" collapsed="false">
      <c r="A37" s="6" t="s">
        <v>144</v>
      </c>
      <c r="B37" s="6" t="s">
        <v>133</v>
      </c>
      <c r="C37" s="6" t="s">
        <v>135</v>
      </c>
      <c r="D37" s="13" t="n">
        <v>90.373</v>
      </c>
      <c r="E37" s="13" t="n">
        <v>33.0445</v>
      </c>
      <c r="F37" s="15" t="n">
        <v>86.8413231192</v>
      </c>
      <c r="G37" s="15" t="n">
        <v>29.4723828021</v>
      </c>
      <c r="H37" s="14" t="n">
        <f aca="false">(F37-D37)/ABS(D37)</f>
        <v>-0.0390788939262834</v>
      </c>
      <c r="I37" s="11" t="n">
        <f aca="false">(F37-D37)/E37</f>
        <v>-0.106876390346351</v>
      </c>
      <c r="J37" s="11" t="n">
        <f aca="false">ABS(I37)</f>
        <v>0.106876390346351</v>
      </c>
      <c r="K37" s="14" t="n">
        <f aca="false">(G37-E37)/E37</f>
        <v>-0.108100204206449</v>
      </c>
    </row>
    <row r="38" customFormat="false" ht="15" hidden="false" customHeight="true" outlineLevel="0" collapsed="false">
      <c r="A38" s="6" t="s">
        <v>144</v>
      </c>
      <c r="B38" s="6" t="s">
        <v>133</v>
      </c>
      <c r="C38" s="6" t="s">
        <v>136</v>
      </c>
      <c r="D38" s="13" t="n">
        <v>0.0808</v>
      </c>
      <c r="E38" s="13" t="n">
        <v>0.0499</v>
      </c>
      <c r="F38" s="15" t="n">
        <v>0.0755763985242</v>
      </c>
      <c r="G38" s="15" t="n">
        <v>0.0383306966915</v>
      </c>
      <c r="H38" s="14" t="n">
        <f aca="false">(F38-D38)/ABS(D38)</f>
        <v>-0.0646485331163365</v>
      </c>
      <c r="I38" s="11" t="n">
        <f aca="false">(F38-D38)/E38</f>
        <v>-0.104681392300601</v>
      </c>
      <c r="J38" s="11" t="n">
        <f aca="false">ABS(I38)</f>
        <v>0.104681392300601</v>
      </c>
      <c r="K38" s="14" t="n">
        <f aca="false">(G38-E38)/E38</f>
        <v>-0.231849765701403</v>
      </c>
    </row>
    <row r="39" customFormat="false" ht="15" hidden="false" customHeight="true" outlineLevel="0" collapsed="false">
      <c r="A39" s="6" t="s">
        <v>144</v>
      </c>
      <c r="B39" s="6" t="s">
        <v>133</v>
      </c>
      <c r="C39" s="6" t="s">
        <v>137</v>
      </c>
      <c r="D39" s="13" t="n">
        <v>8.403</v>
      </c>
      <c r="E39" s="13" t="n">
        <v>0.0843</v>
      </c>
      <c r="F39" s="15" t="n">
        <v>8.4025704511</v>
      </c>
      <c r="G39" s="15" t="n">
        <v>0.0843279990371</v>
      </c>
      <c r="H39" s="14" t="n">
        <f aca="false">(F39-D39)/ABS(D39)</f>
        <v>-5.11185171962023E-005</v>
      </c>
      <c r="I39" s="11" t="n">
        <f aca="false">(F39-D39)/E39</f>
        <v>-0.00509547924080294</v>
      </c>
      <c r="J39" s="11" t="n">
        <f aca="false">ABS(I39)</f>
        <v>0.00509547924080294</v>
      </c>
      <c r="K39" s="14" t="n">
        <f aca="false">(G39-E39)/E39</f>
        <v>0.000332135671411677</v>
      </c>
    </row>
    <row r="40" customFormat="false" ht="15" hidden="false" customHeight="true" outlineLevel="0" collapsed="false">
      <c r="A40" s="6" t="s">
        <v>144</v>
      </c>
      <c r="B40" s="6" t="s">
        <v>133</v>
      </c>
      <c r="C40" s="6" t="s">
        <v>138</v>
      </c>
      <c r="D40" s="13" t="n">
        <v>0.169</v>
      </c>
      <c r="E40" s="13"/>
      <c r="F40" s="15" t="n">
        <v>0.168626209255</v>
      </c>
      <c r="G40" s="15"/>
      <c r="H40" s="14" t="n">
        <f aca="false">(F40-D40)/ABS(D40)</f>
        <v>-0.00221177955621313</v>
      </c>
      <c r="I40" s="11"/>
      <c r="J40" s="11"/>
      <c r="K40" s="14"/>
    </row>
    <row r="41" customFormat="false" ht="15" hidden="false" customHeight="true" outlineLevel="0" collapsed="false">
      <c r="A41" s="6" t="s">
        <v>144</v>
      </c>
      <c r="B41" s="6" t="s">
        <v>133</v>
      </c>
      <c r="C41" s="6" t="s">
        <v>139</v>
      </c>
      <c r="D41" s="13" t="n">
        <v>0.995</v>
      </c>
      <c r="E41" s="13"/>
      <c r="F41" s="15" t="n">
        <v>0.994634288442</v>
      </c>
      <c r="G41" s="15"/>
      <c r="H41" s="14" t="n">
        <f aca="false">(F41-D41)/ABS(D41)</f>
        <v>-0.000367549304522639</v>
      </c>
      <c r="I41" s="11"/>
      <c r="J41" s="11"/>
      <c r="K41" s="14"/>
    </row>
    <row r="42" customFormat="false" ht="15" hidden="false" customHeight="true" outlineLevel="0" collapsed="false">
      <c r="A42" s="6" t="s">
        <v>145</v>
      </c>
      <c r="B42" s="6" t="s">
        <v>146</v>
      </c>
      <c r="C42" s="6" t="s">
        <v>134</v>
      </c>
      <c r="D42" s="13" t="n">
        <v>3.518</v>
      </c>
      <c r="E42" s="13" t="n">
        <v>1.948</v>
      </c>
      <c r="F42" s="15" t="n">
        <v>3.6390738546</v>
      </c>
      <c r="G42" s="15" t="n">
        <v>1.66162000245</v>
      </c>
      <c r="H42" s="14" t="n">
        <f aca="false">(F42-D42)/ABS(D42)</f>
        <v>0.0344155357021035</v>
      </c>
      <c r="I42" s="11" t="n">
        <f aca="false">(F42-D42)/E42</f>
        <v>0.062152902772074</v>
      </c>
      <c r="J42" s="11" t="n">
        <f aca="false">ABS(I42)</f>
        <v>0.062152902772074</v>
      </c>
      <c r="K42" s="14" t="n">
        <f aca="false">(G42-E42)/E42</f>
        <v>-0.147012319070842</v>
      </c>
    </row>
    <row r="43" customFormat="false" ht="15" hidden="false" customHeight="true" outlineLevel="0" collapsed="false">
      <c r="A43" s="6" t="s">
        <v>145</v>
      </c>
      <c r="B43" s="6" t="s">
        <v>146</v>
      </c>
      <c r="C43" s="6" t="s">
        <v>135</v>
      </c>
      <c r="D43" s="13" t="n">
        <v>32.316</v>
      </c>
      <c r="E43" s="13" t="n">
        <v>109.105</v>
      </c>
      <c r="F43" s="15" t="n">
        <v>37.5905902691</v>
      </c>
      <c r="G43" s="15" t="n">
        <v>93.1180421658</v>
      </c>
      <c r="H43" s="14" t="n">
        <f aca="false">(F43-D43)/ABS(D43)</f>
        <v>0.163219156736601</v>
      </c>
      <c r="I43" s="11" t="n">
        <f aca="false">(F43-D43)/E43</f>
        <v>0.0483441663452637</v>
      </c>
      <c r="J43" s="11" t="n">
        <f aca="false">ABS(I43)</f>
        <v>0.0483441663452637</v>
      </c>
      <c r="K43" s="14" t="n">
        <f aca="false">(G43-E43)/E43</f>
        <v>-0.146528186922689</v>
      </c>
    </row>
    <row r="44" customFormat="false" ht="15" hidden="false" customHeight="true" outlineLevel="0" collapsed="false">
      <c r="A44" s="6" t="s">
        <v>145</v>
      </c>
      <c r="B44" s="6" t="s">
        <v>146</v>
      </c>
      <c r="C44" s="6" t="s">
        <v>136</v>
      </c>
      <c r="D44" s="13" t="n">
        <v>0.0279</v>
      </c>
      <c r="E44" s="13" t="n">
        <v>0.00985</v>
      </c>
      <c r="F44" s="15" t="n">
        <v>0.0281387448415</v>
      </c>
      <c r="G44" s="15" t="n">
        <v>0.00943992309144</v>
      </c>
      <c r="H44" s="14" t="n">
        <f aca="false">(F44-D44)/ABS(D44)</f>
        <v>0.00855716277777768</v>
      </c>
      <c r="I44" s="11" t="n">
        <f aca="false">(F44-D44)/E44</f>
        <v>0.024238054974619</v>
      </c>
      <c r="J44" s="11" t="n">
        <f aca="false">ABS(I44)</f>
        <v>0.024238054974619</v>
      </c>
      <c r="K44" s="14" t="n">
        <f aca="false">(G44-E44)/E44</f>
        <v>-0.0416321734578679</v>
      </c>
    </row>
    <row r="45" customFormat="false" ht="15" hidden="false" customHeight="true" outlineLevel="0" collapsed="false">
      <c r="A45" s="6" t="s">
        <v>145</v>
      </c>
      <c r="B45" s="6" t="s">
        <v>146</v>
      </c>
      <c r="C45" s="6" t="s">
        <v>138</v>
      </c>
      <c r="D45" s="13" t="n">
        <v>1.179</v>
      </c>
      <c r="E45" s="13"/>
      <c r="F45" s="15" t="n">
        <v>1.17121844423</v>
      </c>
      <c r="G45" s="15"/>
      <c r="H45" s="14" t="n">
        <f aca="false">(F45-D45)/ABS(D45)</f>
        <v>-0.0066001321204411</v>
      </c>
      <c r="I45" s="11"/>
      <c r="J45" s="11"/>
      <c r="K45" s="14"/>
    </row>
    <row r="46" customFormat="false" ht="15" hidden="false" customHeight="true" outlineLevel="0" collapsed="false">
      <c r="A46" s="6" t="s">
        <v>145</v>
      </c>
      <c r="B46" s="6" t="s">
        <v>146</v>
      </c>
      <c r="C46" s="6" t="s">
        <v>139</v>
      </c>
      <c r="D46" s="13" t="n">
        <v>0.766</v>
      </c>
      <c r="E46" s="13"/>
      <c r="F46" s="15" t="n">
        <v>0.769302382045</v>
      </c>
      <c r="G46" s="15"/>
      <c r="H46" s="14" t="n">
        <f aca="false">(F46-D46)/ABS(D46)</f>
        <v>0.00431120371409921</v>
      </c>
      <c r="I46" s="11"/>
      <c r="J46" s="11"/>
      <c r="K46" s="14"/>
    </row>
    <row r="47" customFormat="false" ht="15" hidden="false" customHeight="true" outlineLevel="0" collapsed="false">
      <c r="A47" s="6" t="s">
        <v>147</v>
      </c>
      <c r="B47" s="6" t="s">
        <v>133</v>
      </c>
      <c r="C47" s="6" t="s">
        <v>134</v>
      </c>
      <c r="D47" s="13" t="n">
        <v>3.789</v>
      </c>
      <c r="E47" s="13" t="n">
        <v>0.0964</v>
      </c>
      <c r="F47" s="15" t="n">
        <v>3.78679618505</v>
      </c>
      <c r="G47" s="15" t="n">
        <v>0.0941542995143</v>
      </c>
      <c r="H47" s="14" t="n">
        <f aca="false">(F47-D47)/ABS(D47)</f>
        <v>-0.000581634982845106</v>
      </c>
      <c r="I47" s="11" t="n">
        <f aca="false">(F47-D47)/E47</f>
        <v>-0.022861150933611</v>
      </c>
      <c r="J47" s="11" t="n">
        <f aca="false">ABS(I47)</f>
        <v>0.022861150933611</v>
      </c>
      <c r="K47" s="14" t="n">
        <f aca="false">(G47-E47)/E47</f>
        <v>-0.0232956481919087</v>
      </c>
    </row>
    <row r="48" customFormat="false" ht="15" hidden="false" customHeight="true" outlineLevel="0" collapsed="false">
      <c r="A48" s="6" t="s">
        <v>147</v>
      </c>
      <c r="B48" s="6" t="s">
        <v>133</v>
      </c>
      <c r="C48" s="6" t="s">
        <v>135</v>
      </c>
      <c r="D48" s="13" t="n">
        <v>88.879</v>
      </c>
      <c r="E48" s="13" t="n">
        <v>15.712</v>
      </c>
      <c r="F48" s="15" t="n">
        <v>81.5496174949</v>
      </c>
      <c r="G48" s="15" t="n">
        <v>12.8973742645</v>
      </c>
      <c r="H48" s="14" t="n">
        <f aca="false">(F48-D48)/ABS(D48)</f>
        <v>-0.0824647273832964</v>
      </c>
      <c r="I48" s="11" t="n">
        <f aca="false">(F48-D48)/E48</f>
        <v>-0.466483102412169</v>
      </c>
      <c r="J48" s="11" t="n">
        <f aca="false">ABS(I48)</f>
        <v>0.466483102412169</v>
      </c>
      <c r="K48" s="14" t="n">
        <f aca="false">(G48-E48)/E48</f>
        <v>-0.179138603328666</v>
      </c>
    </row>
    <row r="49" customFormat="false" ht="15" hidden="false" customHeight="true" outlineLevel="0" collapsed="false">
      <c r="A49" s="6" t="s">
        <v>147</v>
      </c>
      <c r="B49" s="6" t="s">
        <v>133</v>
      </c>
      <c r="C49" s="6" t="s">
        <v>136</v>
      </c>
      <c r="D49" s="13" t="n">
        <v>0.0684</v>
      </c>
      <c r="E49" s="13" t="n">
        <v>0.0187</v>
      </c>
      <c r="F49" s="15" t="n">
        <v>0.0601817497415</v>
      </c>
      <c r="G49" s="15" t="n">
        <v>0.011876902397</v>
      </c>
      <c r="H49" s="14" t="n">
        <f aca="false">(F49-D49)/ABS(D49)</f>
        <v>-0.120149857580409</v>
      </c>
      <c r="I49" s="11" t="n">
        <f aca="false">(F49-D49)/E49</f>
        <v>-0.439478623449198</v>
      </c>
      <c r="J49" s="11" t="n">
        <f aca="false">ABS(I49)</f>
        <v>0.439478623449198</v>
      </c>
      <c r="K49" s="14" t="n">
        <f aca="false">(G49-E49)/E49</f>
        <v>-0.364871529572193</v>
      </c>
    </row>
    <row r="50" customFormat="false" ht="15" hidden="false" customHeight="true" outlineLevel="0" collapsed="false">
      <c r="A50" s="6" t="s">
        <v>147</v>
      </c>
      <c r="B50" s="6" t="s">
        <v>133</v>
      </c>
      <c r="C50" s="6" t="s">
        <v>137</v>
      </c>
      <c r="D50" s="13" t="n">
        <v>9.174</v>
      </c>
      <c r="E50" s="13" t="n">
        <v>0.0957</v>
      </c>
      <c r="F50" s="15" t="n">
        <v>9.17472056991</v>
      </c>
      <c r="G50" s="15" t="n">
        <v>0.0947543986277</v>
      </c>
      <c r="H50" s="14" t="n">
        <f aca="false">(F50-D50)/ABS(D50)</f>
        <v>7.854479071302E-005</v>
      </c>
      <c r="I50" s="11" t="n">
        <f aca="false">(F50-D50)/E50</f>
        <v>0.00752946614421364</v>
      </c>
      <c r="J50" s="11" t="n">
        <f aca="false">ABS(I50)</f>
        <v>0.00752946614421364</v>
      </c>
      <c r="K50" s="14" t="n">
        <f aca="false">(G50-E50)/E50</f>
        <v>-0.0098808920825495</v>
      </c>
    </row>
    <row r="51" customFormat="false" ht="15" hidden="false" customHeight="true" outlineLevel="0" collapsed="false">
      <c r="A51" s="6" t="s">
        <v>147</v>
      </c>
      <c r="B51" s="6" t="s">
        <v>133</v>
      </c>
      <c r="C51" s="6" t="s">
        <v>138</v>
      </c>
      <c r="D51" s="13" t="n">
        <v>0.161</v>
      </c>
      <c r="E51" s="13"/>
      <c r="F51" s="15" t="n">
        <v>0.160188670044</v>
      </c>
      <c r="G51" s="15"/>
      <c r="H51" s="14" t="n">
        <f aca="false">(F51-D51)/ABS(D51)</f>
        <v>-0.00503931649689442</v>
      </c>
      <c r="I51" s="11"/>
      <c r="J51" s="11"/>
      <c r="K51" s="14"/>
    </row>
    <row r="52" customFormat="false" ht="15" hidden="false" customHeight="true" outlineLevel="0" collapsed="false">
      <c r="A52" s="6" t="s">
        <v>147</v>
      </c>
      <c r="B52" s="6" t="s">
        <v>133</v>
      </c>
      <c r="C52" s="6" t="s">
        <v>139</v>
      </c>
      <c r="D52" s="13" t="n">
        <v>0.996</v>
      </c>
      <c r="E52" s="13"/>
      <c r="F52" s="15" t="n">
        <v>0.996478451616</v>
      </c>
      <c r="G52" s="15"/>
      <c r="H52" s="14" t="n">
        <f aca="false">(F52-D52)/ABS(D52)</f>
        <v>0.000480373108433755</v>
      </c>
      <c r="I52" s="11"/>
      <c r="J52" s="11"/>
      <c r="K52" s="14"/>
    </row>
    <row r="53" customFormat="false" ht="15" hidden="false" customHeight="true" outlineLevel="0" collapsed="false">
      <c r="A53" s="6" t="s">
        <v>148</v>
      </c>
      <c r="B53" s="6" t="s">
        <v>146</v>
      </c>
      <c r="C53" s="6" t="s">
        <v>134</v>
      </c>
      <c r="D53" s="13" t="n">
        <v>3.404</v>
      </c>
      <c r="E53" s="13" t="n">
        <v>1.37</v>
      </c>
      <c r="F53" s="15" t="n">
        <v>3.60443381848</v>
      </c>
      <c r="G53" s="15" t="n">
        <v>1.06862815054</v>
      </c>
      <c r="H53" s="14" t="n">
        <f aca="false">(F53-D53)/ABS(D53)</f>
        <v>0.0588818503172738</v>
      </c>
      <c r="I53" s="11" t="n">
        <f aca="false">(F53-D53)/E53</f>
        <v>0.146302057284672</v>
      </c>
      <c r="J53" s="11" t="n">
        <f aca="false">ABS(I53)</f>
        <v>0.146302057284672</v>
      </c>
      <c r="K53" s="14" t="n">
        <f aca="false">(G53-E53)/E53</f>
        <v>-0.219979452160584</v>
      </c>
    </row>
    <row r="54" customFormat="false" ht="15" hidden="false" customHeight="true" outlineLevel="0" collapsed="false">
      <c r="A54" s="6" t="s">
        <v>148</v>
      </c>
      <c r="B54" s="6" t="s">
        <v>146</v>
      </c>
      <c r="C54" s="6" t="s">
        <v>135</v>
      </c>
      <c r="D54" s="13" t="n">
        <v>43.924</v>
      </c>
      <c r="E54" s="13" t="n">
        <v>69.318</v>
      </c>
      <c r="F54" s="15" t="n">
        <v>50.2687000938</v>
      </c>
      <c r="G54" s="15" t="n">
        <v>54.1868016976</v>
      </c>
      <c r="H54" s="14" t="n">
        <f aca="false">(F54-D54)/ABS(D54)</f>
        <v>0.144447229164011</v>
      </c>
      <c r="I54" s="11" t="n">
        <f aca="false">(F54-D54)/E54</f>
        <v>0.0915303397934159</v>
      </c>
      <c r="J54" s="11" t="n">
        <f aca="false">ABS(I54)</f>
        <v>0.0915303397934159</v>
      </c>
      <c r="K54" s="14" t="n">
        <f aca="false">(G54-E54)/E54</f>
        <v>-0.218286711999769</v>
      </c>
    </row>
    <row r="55" customFormat="false" ht="15" hidden="false" customHeight="true" outlineLevel="0" collapsed="false">
      <c r="A55" s="6" t="s">
        <v>148</v>
      </c>
      <c r="B55" s="6" t="s">
        <v>146</v>
      </c>
      <c r="C55" s="6" t="s">
        <v>136</v>
      </c>
      <c r="D55" s="13" t="n">
        <v>0.0348</v>
      </c>
      <c r="E55" s="13" t="n">
        <v>0.00959</v>
      </c>
      <c r="F55" s="15" t="n">
        <v>0.0349792358228</v>
      </c>
      <c r="G55" s="15" t="n">
        <v>0.00886679581144</v>
      </c>
      <c r="H55" s="14" t="n">
        <f aca="false">(F55-D55)/ABS(D55)</f>
        <v>0.00515045467816096</v>
      </c>
      <c r="I55" s="11" t="n">
        <f aca="false">(F55-D55)/E55</f>
        <v>0.0186898668196039</v>
      </c>
      <c r="J55" s="11" t="n">
        <f aca="false">ABS(I55)</f>
        <v>0.0186898668196039</v>
      </c>
      <c r="K55" s="14" t="n">
        <f aca="false">(G55-E55)/E55</f>
        <v>-0.0754123241459853</v>
      </c>
    </row>
    <row r="56" customFormat="false" ht="15" hidden="false" customHeight="true" outlineLevel="0" collapsed="false">
      <c r="A56" s="6" t="s">
        <v>148</v>
      </c>
      <c r="B56" s="6" t="s">
        <v>146</v>
      </c>
      <c r="C56" s="6" t="s">
        <v>138</v>
      </c>
      <c r="D56" s="13" t="n">
        <v>1.0519</v>
      </c>
      <c r="E56" s="13"/>
      <c r="F56" s="15" t="n">
        <v>1.03133156007</v>
      </c>
      <c r="G56" s="15"/>
      <c r="H56" s="14" t="n">
        <f aca="false">(F56-D56)/ABS(D56)</f>
        <v>-0.0195536076908453</v>
      </c>
      <c r="I56" s="11"/>
      <c r="J56" s="11"/>
      <c r="K56" s="14"/>
    </row>
    <row r="57" customFormat="false" ht="15" hidden="false" customHeight="true" outlineLevel="0" collapsed="false">
      <c r="A57" s="6" t="s">
        <v>148</v>
      </c>
      <c r="B57" s="6" t="s">
        <v>146</v>
      </c>
      <c r="C57" s="6" t="s">
        <v>139</v>
      </c>
      <c r="D57" s="13" t="n">
        <v>0.863</v>
      </c>
      <c r="E57" s="13"/>
      <c r="F57" s="15" t="n">
        <v>0.868300431411</v>
      </c>
      <c r="G57" s="15"/>
      <c r="H57" s="14" t="n">
        <f aca="false">(F57-D57)/ABS(D57)</f>
        <v>0.00614186722016223</v>
      </c>
      <c r="I57" s="11"/>
      <c r="J57" s="11"/>
      <c r="K57" s="14"/>
    </row>
    <row r="58" customFormat="false" ht="15" hidden="false" customHeight="true" outlineLevel="0" collapsed="false">
      <c r="A58" s="6" t="s">
        <v>149</v>
      </c>
      <c r="B58" s="6" t="s">
        <v>133</v>
      </c>
      <c r="C58" s="6" t="s">
        <v>134</v>
      </c>
      <c r="D58" s="13" t="n">
        <v>2.294</v>
      </c>
      <c r="E58" s="13" t="n">
        <v>0.0987</v>
      </c>
      <c r="F58" s="15" t="n">
        <v>2.3031242381</v>
      </c>
      <c r="G58" s="15" t="n">
        <v>0.0743315240141</v>
      </c>
      <c r="H58" s="14" t="n">
        <f aca="false">(F58-D58)/ABS(D58)</f>
        <v>0.00397743596338277</v>
      </c>
      <c r="I58" s="11" t="n">
        <f aca="false">(F58-D58)/E58</f>
        <v>0.0924441550151983</v>
      </c>
      <c r="J58" s="11" t="n">
        <f aca="false">ABS(I58)</f>
        <v>0.0924441550151983</v>
      </c>
      <c r="K58" s="14" t="n">
        <f aca="false">(G58-E58)/E58</f>
        <v>-0.246894386888551</v>
      </c>
    </row>
    <row r="59" customFormat="false" ht="15" hidden="false" customHeight="true" outlineLevel="0" collapsed="false">
      <c r="A59" s="6" t="s">
        <v>149</v>
      </c>
      <c r="B59" s="6" t="s">
        <v>133</v>
      </c>
      <c r="C59" s="6" t="s">
        <v>135</v>
      </c>
      <c r="D59" s="13" t="n">
        <v>23.119</v>
      </c>
      <c r="E59" s="13" t="n">
        <v>3.52</v>
      </c>
      <c r="F59" s="15" t="n">
        <v>19.9588685504</v>
      </c>
      <c r="G59" s="15" t="n">
        <v>2.46238538212</v>
      </c>
      <c r="H59" s="14" t="n">
        <f aca="false">(F59-D59)/ABS(D59)</f>
        <v>-0.136689798416887</v>
      </c>
      <c r="I59" s="11" t="n">
        <f aca="false">(F59-D59)/E59</f>
        <v>-0.897764616363637</v>
      </c>
      <c r="J59" s="11" t="n">
        <f aca="false">ABS(I59)</f>
        <v>0.897764616363637</v>
      </c>
      <c r="K59" s="14" t="n">
        <f aca="false">(G59-E59)/E59</f>
        <v>-0.300458698261364</v>
      </c>
    </row>
    <row r="60" customFormat="false" ht="15" hidden="false" customHeight="true" outlineLevel="0" collapsed="false">
      <c r="A60" s="6" t="s">
        <v>149</v>
      </c>
      <c r="B60" s="6" t="s">
        <v>133</v>
      </c>
      <c r="C60" s="6" t="s">
        <v>136</v>
      </c>
      <c r="D60" s="13" t="n">
        <v>0.0539</v>
      </c>
      <c r="E60" s="13" t="n">
        <v>0.00198</v>
      </c>
      <c r="F60" s="15" t="n">
        <v>0.0511280638656</v>
      </c>
      <c r="G60" s="15" t="n">
        <v>0.00119000529495</v>
      </c>
      <c r="H60" s="14" t="n">
        <f aca="false">(F60-D60)/ABS(D60)</f>
        <v>-0.0514273865380334</v>
      </c>
      <c r="I60" s="11" t="n">
        <f aca="false">(F60-D60)/E60</f>
        <v>-1.39996774464647</v>
      </c>
      <c r="J60" s="11" t="n">
        <f aca="false">ABS(I60)</f>
        <v>1.39996774464647</v>
      </c>
      <c r="K60" s="14" t="n">
        <f aca="false">(G60-E60)/E60</f>
        <v>-0.398987224772727</v>
      </c>
    </row>
    <row r="61" customFormat="false" ht="15" hidden="false" customHeight="true" outlineLevel="0" collapsed="false">
      <c r="A61" s="6" t="s">
        <v>149</v>
      </c>
      <c r="B61" s="6" t="s">
        <v>133</v>
      </c>
      <c r="C61" s="6" t="s">
        <v>137</v>
      </c>
      <c r="D61" s="13" t="n">
        <v>8.659</v>
      </c>
      <c r="E61" s="13" t="n">
        <v>0.0649</v>
      </c>
      <c r="F61" s="15" t="n">
        <v>8.63876822814</v>
      </c>
      <c r="G61" s="15" t="n">
        <v>0.0451759140638</v>
      </c>
      <c r="H61" s="14" t="n">
        <f aca="false">(F61-D61)/ABS(D61)</f>
        <v>-0.0023365021203373</v>
      </c>
      <c r="I61" s="11" t="n">
        <f aca="false">(F61-D61)/E61</f>
        <v>-0.31173762496149</v>
      </c>
      <c r="J61" s="11" t="n">
        <f aca="false">ABS(I61)</f>
        <v>0.31173762496149</v>
      </c>
      <c r="K61" s="14" t="n">
        <f aca="false">(G61-E61)/E61</f>
        <v>-0.30391503753775</v>
      </c>
    </row>
    <row r="62" customFormat="false" ht="15" hidden="false" customHeight="true" outlineLevel="0" collapsed="false">
      <c r="A62" s="6" t="s">
        <v>149</v>
      </c>
      <c r="B62" s="6" t="s">
        <v>133</v>
      </c>
      <c r="C62" s="6" t="s">
        <v>138</v>
      </c>
      <c r="D62" s="13" t="n">
        <v>0.108</v>
      </c>
      <c r="E62" s="13"/>
      <c r="F62" s="15" t="n">
        <v>0.0783202496262</v>
      </c>
      <c r="G62" s="15"/>
      <c r="H62" s="14" t="n">
        <f aca="false">(F62-D62)/ABS(D62)</f>
        <v>-0.274812503461111</v>
      </c>
      <c r="I62" s="11"/>
      <c r="J62" s="11"/>
      <c r="K62" s="14"/>
    </row>
    <row r="63" customFormat="false" ht="15" hidden="false" customHeight="true" outlineLevel="0" collapsed="false">
      <c r="A63" s="6" t="s">
        <v>149</v>
      </c>
      <c r="B63" s="6" t="s">
        <v>133</v>
      </c>
      <c r="C63" s="6" t="s">
        <v>139</v>
      </c>
      <c r="D63" s="13" t="n">
        <v>0.998</v>
      </c>
      <c r="E63" s="13"/>
      <c r="F63" s="15" t="n">
        <v>0.999057476948</v>
      </c>
      <c r="G63" s="15"/>
      <c r="H63" s="14" t="n">
        <f aca="false">(F63-D63)/ABS(D63)</f>
        <v>0.00105959614028052</v>
      </c>
      <c r="I63" s="11"/>
      <c r="J63" s="11"/>
      <c r="K63" s="14"/>
    </row>
    <row r="64" customFormat="false" ht="15" hidden="false" customHeight="true" outlineLevel="0" collapsed="false">
      <c r="A64" s="6" t="s">
        <v>150</v>
      </c>
      <c r="B64" s="6" t="s">
        <v>133</v>
      </c>
      <c r="C64" s="6" t="s">
        <v>134</v>
      </c>
      <c r="D64" s="13" t="n">
        <v>3.117</v>
      </c>
      <c r="E64" s="13" t="n">
        <v>0.273</v>
      </c>
      <c r="F64" s="15" t="n">
        <v>3.14194751885</v>
      </c>
      <c r="G64" s="15" t="n">
        <v>0.27809229404</v>
      </c>
      <c r="H64" s="14" t="n">
        <f aca="false">(F64-D64)/ABS(D64)</f>
        <v>0.00800369549246067</v>
      </c>
      <c r="I64" s="11" t="n">
        <f aca="false">(F64-D64)/E64</f>
        <v>0.0913828529304026</v>
      </c>
      <c r="J64" s="11" t="n">
        <f aca="false">ABS(I64)</f>
        <v>0.0913828529304026</v>
      </c>
      <c r="K64" s="14" t="n">
        <f aca="false">(G64-E64)/E64</f>
        <v>0.0186530917216117</v>
      </c>
    </row>
    <row r="65" customFormat="false" ht="15" hidden="false" customHeight="true" outlineLevel="0" collapsed="false">
      <c r="A65" s="6" t="s">
        <v>150</v>
      </c>
      <c r="B65" s="6" t="s">
        <v>133</v>
      </c>
      <c r="C65" s="6" t="s">
        <v>135</v>
      </c>
      <c r="D65" s="13" t="n">
        <v>7.0645</v>
      </c>
      <c r="E65" s="13" t="n">
        <v>10.788</v>
      </c>
      <c r="F65" s="15" t="n">
        <v>6.70518019641</v>
      </c>
      <c r="G65" s="15" t="n">
        <v>10.1056011107</v>
      </c>
      <c r="H65" s="14" t="n">
        <f aca="false">(F65-D65)/ABS(D65)</f>
        <v>-0.0508627367244674</v>
      </c>
      <c r="I65" s="11" t="n">
        <f aca="false">(F65-D65)/E65</f>
        <v>-0.0333073603624398</v>
      </c>
      <c r="J65" s="11" t="n">
        <f aca="false">ABS(I65)</f>
        <v>0.0333073603624398</v>
      </c>
      <c r="K65" s="14" t="n">
        <f aca="false">(G65-E65)/E65</f>
        <v>-0.0632553660826845</v>
      </c>
    </row>
    <row r="66" customFormat="false" ht="15" hidden="false" customHeight="true" outlineLevel="0" collapsed="false">
      <c r="A66" s="6" t="s">
        <v>150</v>
      </c>
      <c r="B66" s="6" t="s">
        <v>133</v>
      </c>
      <c r="C66" s="6" t="s">
        <v>136</v>
      </c>
      <c r="D66" s="13" t="n">
        <v>0.0409</v>
      </c>
      <c r="E66" s="13" t="n">
        <v>0.00388</v>
      </c>
      <c r="F66" s="15" t="n">
        <v>0.0401141274516</v>
      </c>
      <c r="G66" s="15" t="n">
        <v>0.00339358172376</v>
      </c>
      <c r="H66" s="14" t="n">
        <f aca="false">(F66-D66)/ABS(D66)</f>
        <v>-0.0192144877359413</v>
      </c>
      <c r="I66" s="11" t="n">
        <f aca="false">(F66-D66)/E66</f>
        <v>-0.202544471237113</v>
      </c>
      <c r="J66" s="11" t="n">
        <f aca="false">ABS(I66)</f>
        <v>0.202544471237113</v>
      </c>
      <c r="K66" s="14" t="n">
        <f aca="false">(G66-E66)/E66</f>
        <v>-0.125365535113402</v>
      </c>
    </row>
    <row r="67" customFormat="false" ht="15" hidden="false" customHeight="true" outlineLevel="0" collapsed="false">
      <c r="A67" s="6" t="s">
        <v>150</v>
      </c>
      <c r="B67" s="6" t="s">
        <v>133</v>
      </c>
      <c r="C67" s="6" t="s">
        <v>137</v>
      </c>
      <c r="D67" s="13" t="n">
        <v>8.462</v>
      </c>
      <c r="E67" s="13" t="n">
        <v>0.132</v>
      </c>
      <c r="F67" s="15" t="n">
        <v>8.45723205917</v>
      </c>
      <c r="G67" s="15" t="n">
        <v>0.128048641076</v>
      </c>
      <c r="H67" s="14" t="n">
        <f aca="false">(F67-D67)/ABS(D67)</f>
        <v>-0.00056345318246276</v>
      </c>
      <c r="I67" s="11" t="n">
        <f aca="false">(F67-D67)/E67</f>
        <v>-0.0361207638636354</v>
      </c>
      <c r="J67" s="11" t="n">
        <f aca="false">ABS(I67)</f>
        <v>0.0361207638636354</v>
      </c>
      <c r="K67" s="14" t="n">
        <f aca="false">(G67-E67)/E67</f>
        <v>-0.0299345373030303</v>
      </c>
    </row>
    <row r="68" customFormat="false" ht="15" hidden="false" customHeight="true" outlineLevel="0" collapsed="false">
      <c r="A68" s="6" t="s">
        <v>150</v>
      </c>
      <c r="B68" s="6" t="s">
        <v>133</v>
      </c>
      <c r="C68" s="6" t="s">
        <v>138</v>
      </c>
      <c r="D68" s="13" t="n">
        <v>0.286</v>
      </c>
      <c r="E68" s="13"/>
      <c r="F68" s="15" t="n">
        <v>0.284295137409</v>
      </c>
      <c r="G68" s="15"/>
      <c r="H68" s="14" t="n">
        <f aca="false">(F68-D68)/ABS(D68)</f>
        <v>-0.00596105801048951</v>
      </c>
      <c r="I68" s="11"/>
      <c r="J68" s="11"/>
      <c r="K68" s="14"/>
    </row>
    <row r="69" customFormat="false" ht="15" hidden="false" customHeight="true" outlineLevel="0" collapsed="false">
      <c r="A69" s="6" t="s">
        <v>150</v>
      </c>
      <c r="B69" s="6" t="s">
        <v>133</v>
      </c>
      <c r="C69" s="6" t="s">
        <v>139</v>
      </c>
      <c r="D69" s="13" t="n">
        <v>0.979</v>
      </c>
      <c r="E69" s="13"/>
      <c r="F69" s="15" t="n">
        <v>0.978792247626</v>
      </c>
      <c r="G69" s="15"/>
      <c r="H69" s="14" t="n">
        <f aca="false">(F69-D69)/ABS(D69)</f>
        <v>-0.000212208757916188</v>
      </c>
      <c r="I69" s="11"/>
      <c r="J69" s="11"/>
      <c r="K69" s="14"/>
    </row>
    <row r="70" customFormat="false" ht="15" hidden="false" customHeight="true" outlineLevel="0" collapsed="false">
      <c r="A70" s="6" t="s">
        <v>151</v>
      </c>
      <c r="B70" s="6" t="s">
        <v>133</v>
      </c>
      <c r="C70" s="6" t="s">
        <v>134</v>
      </c>
      <c r="D70" s="13" t="n">
        <v>3.244</v>
      </c>
      <c r="E70" s="13" t="n">
        <v>0.0956</v>
      </c>
      <c r="F70" s="15" t="n">
        <v>3.26229899331</v>
      </c>
      <c r="G70" s="15" t="n">
        <v>0.093370611719</v>
      </c>
      <c r="H70" s="14" t="n">
        <f aca="false">(F70-D70)/ABS(D70)</f>
        <v>0.00564087340012322</v>
      </c>
      <c r="I70" s="11" t="n">
        <f aca="false">(F70-D70)/E70</f>
        <v>0.191412063912131</v>
      </c>
      <c r="J70" s="11" t="n">
        <f aca="false">ABS(I70)</f>
        <v>0.191412063912131</v>
      </c>
      <c r="K70" s="14" t="n">
        <f aca="false">(G70-E70)/E70</f>
        <v>-0.0233199610983264</v>
      </c>
    </row>
    <row r="71" customFormat="false" ht="15" hidden="false" customHeight="true" outlineLevel="0" collapsed="false">
      <c r="A71" s="6" t="s">
        <v>151</v>
      </c>
      <c r="B71" s="6" t="s">
        <v>133</v>
      </c>
      <c r="C71" s="6" t="s">
        <v>135</v>
      </c>
      <c r="D71" s="13" t="n">
        <v>17.224</v>
      </c>
      <c r="E71" s="13" t="n">
        <v>3.552</v>
      </c>
      <c r="F71" s="15" t="n">
        <v>16.3764399943</v>
      </c>
      <c r="G71" s="15" t="n">
        <v>3.29090567162</v>
      </c>
      <c r="H71" s="14" t="n">
        <f aca="false">(F71-D71)/ABS(D71)</f>
        <v>-0.049208082077334</v>
      </c>
      <c r="I71" s="11" t="n">
        <f aca="false">(F71-D71)/E71</f>
        <v>-0.238614866469595</v>
      </c>
      <c r="J71" s="11" t="n">
        <f aca="false">ABS(I71)</f>
        <v>0.238614866469595</v>
      </c>
      <c r="K71" s="14" t="n">
        <f aca="false">(G71-E71)/E71</f>
        <v>-0.073506286143018</v>
      </c>
    </row>
    <row r="72" customFormat="false" ht="15" hidden="false" customHeight="true" outlineLevel="0" collapsed="false">
      <c r="A72" s="6" t="s">
        <v>151</v>
      </c>
      <c r="B72" s="6" t="s">
        <v>133</v>
      </c>
      <c r="C72" s="6" t="s">
        <v>136</v>
      </c>
      <c r="D72" s="13" t="n">
        <v>0.0465</v>
      </c>
      <c r="E72" s="13" t="n">
        <v>0.00173</v>
      </c>
      <c r="F72" s="15" t="n">
        <v>0.0454695589806</v>
      </c>
      <c r="G72" s="15" t="n">
        <v>0.00150235723095</v>
      </c>
      <c r="H72" s="14" t="n">
        <f aca="false">(F72-D72)/ABS(D72)</f>
        <v>-0.0221600219225807</v>
      </c>
      <c r="I72" s="11" t="n">
        <f aca="false">(F72-D72)/E72</f>
        <v>-0.595630647052025</v>
      </c>
      <c r="J72" s="11" t="n">
        <f aca="false">ABS(I72)</f>
        <v>0.595630647052025</v>
      </c>
      <c r="K72" s="14" t="n">
        <f aca="false">(G72-E72)/E72</f>
        <v>-0.131585415635838</v>
      </c>
    </row>
    <row r="73" customFormat="false" ht="15" hidden="false" customHeight="true" outlineLevel="0" collapsed="false">
      <c r="A73" s="6" t="s">
        <v>151</v>
      </c>
      <c r="B73" s="6" t="s">
        <v>133</v>
      </c>
      <c r="C73" s="6" t="s">
        <v>137</v>
      </c>
      <c r="D73" s="13" t="n">
        <v>8.237</v>
      </c>
      <c r="E73" s="13" t="n">
        <v>0.0446</v>
      </c>
      <c r="F73" s="15" t="n">
        <v>8.2334716343</v>
      </c>
      <c r="G73" s="15" t="n">
        <v>0.0418900819453</v>
      </c>
      <c r="H73" s="14" t="n">
        <f aca="false">(F73-D73)/ABS(D73)</f>
        <v>-0.000428355675609976</v>
      </c>
      <c r="I73" s="11" t="n">
        <f aca="false">(F73-D73)/E73</f>
        <v>-0.0791113385650083</v>
      </c>
      <c r="J73" s="11" t="n">
        <f aca="false">ABS(I73)</f>
        <v>0.0791113385650083</v>
      </c>
      <c r="K73" s="14" t="n">
        <f aca="false">(G73-E73)/E73</f>
        <v>-0.0607604945</v>
      </c>
    </row>
    <row r="74" customFormat="false" ht="15" hidden="false" customHeight="true" outlineLevel="0" collapsed="false">
      <c r="A74" s="6" t="s">
        <v>151</v>
      </c>
      <c r="B74" s="6" t="s">
        <v>133</v>
      </c>
      <c r="C74" s="6" t="s">
        <v>138</v>
      </c>
      <c r="D74" s="13" t="n">
        <v>0.105</v>
      </c>
      <c r="E74" s="13"/>
      <c r="F74" s="15" t="n">
        <v>0.100334289855</v>
      </c>
      <c r="G74" s="15"/>
      <c r="H74" s="14" t="n">
        <f aca="false">(F74-D74)/ABS(D74)</f>
        <v>-0.0444353347142857</v>
      </c>
      <c r="I74" s="11"/>
      <c r="J74" s="11"/>
      <c r="K74" s="14"/>
    </row>
    <row r="75" customFormat="false" ht="15" hidden="false" customHeight="true" outlineLevel="0" collapsed="false">
      <c r="A75" s="6" t="s">
        <v>151</v>
      </c>
      <c r="B75" s="6" t="s">
        <v>133</v>
      </c>
      <c r="C75" s="6" t="s">
        <v>139</v>
      </c>
      <c r="D75" s="13" t="n">
        <v>0.997</v>
      </c>
      <c r="E75" s="13"/>
      <c r="F75" s="15" t="n">
        <v>0.997198095814</v>
      </c>
      <c r="G75" s="15"/>
      <c r="H75" s="14" t="n">
        <f aca="false">(F75-D75)/ABS(D75)</f>
        <v>0.000198691889668995</v>
      </c>
      <c r="I75" s="11"/>
      <c r="J75" s="11"/>
      <c r="K75" s="14"/>
    </row>
    <row r="76" customFormat="false" ht="15" hidden="false" customHeight="true" outlineLevel="0" collapsed="false">
      <c r="A76" s="6" t="s">
        <v>152</v>
      </c>
      <c r="B76" s="6" t="s">
        <v>133</v>
      </c>
      <c r="C76" s="6" t="s">
        <v>134</v>
      </c>
      <c r="D76" s="13" t="n">
        <v>3.251</v>
      </c>
      <c r="E76" s="13" t="n">
        <v>0.13</v>
      </c>
      <c r="F76" s="15" t="n">
        <v>3.24400688772</v>
      </c>
      <c r="G76" s="15" t="n">
        <v>0.129162849498</v>
      </c>
      <c r="H76" s="14" t="n">
        <f aca="false">(F76-D76)/ABS(D76)</f>
        <v>-0.00215106498923408</v>
      </c>
      <c r="I76" s="11" t="n">
        <f aca="false">(F76-D76)/E76</f>
        <v>-0.0537931713846153</v>
      </c>
      <c r="J76" s="11" t="n">
        <f aca="false">ABS(I76)</f>
        <v>0.0537931713846153</v>
      </c>
      <c r="K76" s="14" t="n">
        <f aca="false">(G76-E76)/E76</f>
        <v>-0.00643961924615389</v>
      </c>
    </row>
    <row r="77" customFormat="false" ht="15" hidden="false" customHeight="true" outlineLevel="0" collapsed="false">
      <c r="A77" s="6" t="s">
        <v>152</v>
      </c>
      <c r="B77" s="6" t="s">
        <v>133</v>
      </c>
      <c r="C77" s="6" t="s">
        <v>135</v>
      </c>
      <c r="D77" s="13" t="n">
        <v>46.876</v>
      </c>
      <c r="E77" s="13" t="n">
        <v>8.359</v>
      </c>
      <c r="F77" s="15" t="n">
        <v>44.1522286361</v>
      </c>
      <c r="G77" s="15" t="n">
        <v>7.97253939002</v>
      </c>
      <c r="H77" s="14" t="n">
        <f aca="false">(F77-D77)/ABS(D77)</f>
        <v>-0.0581058828376995</v>
      </c>
      <c r="I77" s="11" t="n">
        <f aca="false">(F77-D77)/E77</f>
        <v>-0.325848948905371</v>
      </c>
      <c r="J77" s="11" t="n">
        <f aca="false">ABS(I77)</f>
        <v>0.325848948905371</v>
      </c>
      <c r="K77" s="14" t="n">
        <f aca="false">(G77-E77)/E77</f>
        <v>-0.0462328759397057</v>
      </c>
    </row>
    <row r="78" customFormat="false" ht="15" hidden="false" customHeight="true" outlineLevel="0" collapsed="false">
      <c r="A78" s="6" t="s">
        <v>152</v>
      </c>
      <c r="B78" s="6" t="s">
        <v>133</v>
      </c>
      <c r="C78" s="6" t="s">
        <v>136</v>
      </c>
      <c r="D78" s="13" t="n">
        <v>0.0313</v>
      </c>
      <c r="E78" s="13" t="n">
        <v>0.00211</v>
      </c>
      <c r="F78" s="15" t="n">
        <v>0.0304757623271</v>
      </c>
      <c r="G78" s="15" t="n">
        <v>0.00188591908399</v>
      </c>
      <c r="H78" s="14" t="n">
        <f aca="false">(F78-D78)/ABS(D78)</f>
        <v>-0.0263334719776358</v>
      </c>
      <c r="I78" s="11" t="n">
        <f aca="false">(F78-D78)/E78</f>
        <v>-0.390633968199053</v>
      </c>
      <c r="J78" s="11" t="n">
        <f aca="false">ABS(I78)</f>
        <v>0.390633968199053</v>
      </c>
      <c r="K78" s="14" t="n">
        <f aca="false">(G78-E78)/E78</f>
        <v>-0.106199486260663</v>
      </c>
    </row>
    <row r="79" customFormat="false" ht="15" hidden="false" customHeight="true" outlineLevel="0" collapsed="false">
      <c r="A79" s="6" t="s">
        <v>152</v>
      </c>
      <c r="B79" s="6" t="s">
        <v>133</v>
      </c>
      <c r="C79" s="6" t="s">
        <v>137</v>
      </c>
      <c r="D79" s="13" t="n">
        <v>7.92</v>
      </c>
      <c r="E79" s="13" t="n">
        <v>0.0533</v>
      </c>
      <c r="F79" s="15" t="n">
        <v>7.92131028348</v>
      </c>
      <c r="G79" s="15" t="n">
        <v>0.052200984524</v>
      </c>
      <c r="H79" s="14" t="n">
        <f aca="false">(F79-D79)/ABS(D79)</f>
        <v>0.000165439833333397</v>
      </c>
      <c r="I79" s="11" t="n">
        <f aca="false">(F79-D79)/E79</f>
        <v>0.0245831797373453</v>
      </c>
      <c r="J79" s="11" t="n">
        <f aca="false">ABS(I79)</f>
        <v>0.0245831797373453</v>
      </c>
      <c r="K79" s="14" t="n">
        <f aca="false">(G79-E79)/E79</f>
        <v>-0.0206194273170731</v>
      </c>
    </row>
    <row r="80" customFormat="false" ht="15" hidden="false" customHeight="true" outlineLevel="0" collapsed="false">
      <c r="A80" s="6" t="s">
        <v>152</v>
      </c>
      <c r="B80" s="6" t="s">
        <v>133</v>
      </c>
      <c r="C80" s="6" t="s">
        <v>138</v>
      </c>
      <c r="D80" s="13" t="n">
        <v>0.17</v>
      </c>
      <c r="E80" s="13"/>
      <c r="F80" s="15" t="n">
        <v>0.167234339404</v>
      </c>
      <c r="G80" s="15"/>
      <c r="H80" s="14" t="n">
        <f aca="false">(F80-D80)/ABS(D80)</f>
        <v>-0.0162685917411765</v>
      </c>
      <c r="I80" s="11"/>
      <c r="J80" s="11"/>
      <c r="K80" s="14"/>
    </row>
    <row r="81" customFormat="false" ht="15" hidden="false" customHeight="true" outlineLevel="0" collapsed="false">
      <c r="A81" s="6" t="s">
        <v>152</v>
      </c>
      <c r="B81" s="6" t="s">
        <v>133</v>
      </c>
      <c r="C81" s="6" t="s">
        <v>139</v>
      </c>
      <c r="D81" s="13" t="n">
        <v>0.991</v>
      </c>
      <c r="E81" s="13"/>
      <c r="F81" s="15" t="n">
        <v>0.991377967145</v>
      </c>
      <c r="G81" s="15"/>
      <c r="H81" s="14" t="n">
        <f aca="false">(F81-D81)/ABS(D81)</f>
        <v>0.000381399742684204</v>
      </c>
      <c r="I81" s="11"/>
      <c r="J81" s="11"/>
      <c r="K81" s="14"/>
    </row>
    <row r="82" customFormat="false" ht="15" hidden="false" customHeight="true" outlineLevel="0" collapsed="false">
      <c r="A82" s="6" t="s">
        <v>153</v>
      </c>
      <c r="B82" s="6" t="s">
        <v>133</v>
      </c>
      <c r="C82" s="6" t="s">
        <v>134</v>
      </c>
      <c r="D82" s="13" t="n">
        <v>3.402</v>
      </c>
      <c r="E82" s="13" t="n">
        <v>0.148</v>
      </c>
      <c r="F82" s="15" t="n">
        <v>3.38360189356</v>
      </c>
      <c r="G82" s="15" t="n">
        <v>0.146011523128</v>
      </c>
      <c r="H82" s="14" t="n">
        <f aca="false">(F82-D82)/ABS(D82)</f>
        <v>-0.00540802658436222</v>
      </c>
      <c r="I82" s="11" t="n">
        <f aca="false">(F82-D82)/E82</f>
        <v>-0.124311530000002</v>
      </c>
      <c r="J82" s="11" t="n">
        <f aca="false">ABS(I82)</f>
        <v>0.124311530000002</v>
      </c>
      <c r="K82" s="14" t="n">
        <f aca="false">(G82-E82)/E82</f>
        <v>-0.0134356545405405</v>
      </c>
    </row>
    <row r="83" customFormat="false" ht="15" hidden="false" customHeight="true" outlineLevel="0" collapsed="false">
      <c r="A83" s="6" t="s">
        <v>153</v>
      </c>
      <c r="B83" s="6" t="s">
        <v>133</v>
      </c>
      <c r="C83" s="6" t="s">
        <v>135</v>
      </c>
      <c r="D83" s="13" t="n">
        <v>15.312</v>
      </c>
      <c r="E83" s="13" t="n">
        <v>4.0493</v>
      </c>
      <c r="F83" s="15" t="n">
        <v>13.5925780722</v>
      </c>
      <c r="G83" s="15" t="n">
        <v>3.76372024137</v>
      </c>
      <c r="H83" s="14" t="n">
        <f aca="false">(F83-D83)/ABS(D83)</f>
        <v>-0.11229244565047</v>
      </c>
      <c r="I83" s="11" t="n">
        <f aca="false">(F83-D83)/E83</f>
        <v>-0.424622015607636</v>
      </c>
      <c r="J83" s="11" t="n">
        <f aca="false">ABS(I83)</f>
        <v>0.424622015607636</v>
      </c>
      <c r="K83" s="14" t="n">
        <f aca="false">(G83-E83)/E83</f>
        <v>-0.0705257102783196</v>
      </c>
    </row>
    <row r="84" customFormat="false" ht="15" hidden="false" customHeight="true" outlineLevel="0" collapsed="false">
      <c r="A84" s="6" t="s">
        <v>153</v>
      </c>
      <c r="B84" s="6" t="s">
        <v>133</v>
      </c>
      <c r="C84" s="6" t="s">
        <v>136</v>
      </c>
      <c r="D84" s="13" t="n">
        <v>0.0621</v>
      </c>
      <c r="E84" s="13" t="n">
        <v>0.00338</v>
      </c>
      <c r="F84" s="15" t="n">
        <v>0.0601967380526</v>
      </c>
      <c r="G84" s="15" t="n">
        <v>0.00286439180268</v>
      </c>
      <c r="H84" s="14" t="n">
        <f aca="false">(F84-D84)/ABS(D84)</f>
        <v>-0.0306483405378422</v>
      </c>
      <c r="I84" s="11" t="n">
        <f aca="false">(F84-D84)/E84</f>
        <v>-0.56309525071006</v>
      </c>
      <c r="J84" s="11" t="n">
        <f aca="false">ABS(I84)</f>
        <v>0.56309525071006</v>
      </c>
      <c r="K84" s="14" t="n">
        <f aca="false">(G84-E84)/E84</f>
        <v>-0.152546803940828</v>
      </c>
    </row>
    <row r="85" customFormat="false" ht="15" hidden="false" customHeight="true" outlineLevel="0" collapsed="false">
      <c r="A85" s="6" t="s">
        <v>153</v>
      </c>
      <c r="B85" s="6" t="s">
        <v>133</v>
      </c>
      <c r="C85" s="6" t="s">
        <v>137</v>
      </c>
      <c r="D85" s="13" t="n">
        <v>8.461</v>
      </c>
      <c r="E85" s="13" t="n">
        <v>0.0645</v>
      </c>
      <c r="F85" s="15" t="n">
        <v>8.46006859641</v>
      </c>
      <c r="G85" s="15" t="n">
        <v>0.0613173036449</v>
      </c>
      <c r="H85" s="14" t="n">
        <f aca="false">(F85-D85)/ABS(D85)</f>
        <v>-0.000110081974943872</v>
      </c>
      <c r="I85" s="11" t="n">
        <f aca="false">(F85-D85)/E85</f>
        <v>-0.0144403657364357</v>
      </c>
      <c r="J85" s="11" t="n">
        <f aca="false">ABS(I85)</f>
        <v>0.0144403657364357</v>
      </c>
      <c r="K85" s="14" t="n">
        <f aca="false">(G85-E85)/E85</f>
        <v>-0.0493441295364342</v>
      </c>
    </row>
    <row r="86" customFormat="false" ht="15" hidden="false" customHeight="true" outlineLevel="0" collapsed="false">
      <c r="A86" s="6" t="s">
        <v>153</v>
      </c>
      <c r="B86" s="6" t="s">
        <v>133</v>
      </c>
      <c r="C86" s="6" t="s">
        <v>138</v>
      </c>
      <c r="D86" s="13" t="n">
        <v>0.156</v>
      </c>
      <c r="E86" s="13"/>
      <c r="F86" s="15" t="n">
        <v>0.14981733129</v>
      </c>
      <c r="G86" s="15"/>
      <c r="H86" s="14" t="n">
        <f aca="false">(F86-D86)/ABS(D86)</f>
        <v>-0.0396324917307693</v>
      </c>
      <c r="I86" s="11"/>
      <c r="J86" s="11"/>
      <c r="K86" s="14"/>
    </row>
    <row r="87" customFormat="false" ht="15" hidden="false" customHeight="true" outlineLevel="0" collapsed="false">
      <c r="A87" s="6" t="s">
        <v>153</v>
      </c>
      <c r="B87" s="6" t="s">
        <v>133</v>
      </c>
      <c r="C87" s="6" t="s">
        <v>139</v>
      </c>
      <c r="D87" s="13" t="n">
        <v>0.993</v>
      </c>
      <c r="E87" s="13"/>
      <c r="F87" s="15" t="n">
        <v>0.993880006712</v>
      </c>
      <c r="G87" s="15"/>
      <c r="H87" s="14" t="n">
        <f aca="false">(F87-D87)/ABS(D87)</f>
        <v>0.00088621018328304</v>
      </c>
      <c r="I87" s="11"/>
      <c r="J87" s="11"/>
      <c r="K87" s="14"/>
    </row>
    <row r="88" customFormat="false" ht="15" hidden="false" customHeight="true" outlineLevel="0" collapsed="false">
      <c r="A88" s="6" t="s">
        <v>154</v>
      </c>
      <c r="B88" s="6" t="s">
        <v>133</v>
      </c>
      <c r="C88" s="6" t="s">
        <v>134</v>
      </c>
      <c r="D88" s="13" t="n">
        <v>2.816</v>
      </c>
      <c r="E88" s="13" t="n">
        <v>0.523</v>
      </c>
      <c r="F88" s="15" t="n">
        <v>2.73555484953</v>
      </c>
      <c r="G88" s="15" t="n">
        <v>0.540851484851</v>
      </c>
      <c r="H88" s="14" t="n">
        <f aca="false">(F88-D88)/ABS(D88)</f>
        <v>-0.0285671699112215</v>
      </c>
      <c r="I88" s="11" t="n">
        <f aca="false">(F88-D88)/E88</f>
        <v>-0.153814819254301</v>
      </c>
      <c r="J88" s="11" t="n">
        <f aca="false">ABS(I88)</f>
        <v>0.153814819254301</v>
      </c>
      <c r="K88" s="14" t="n">
        <f aca="false">(G88-E88)/E88</f>
        <v>0.0341328582237093</v>
      </c>
    </row>
    <row r="89" customFormat="false" ht="15" hidden="false" customHeight="true" outlineLevel="0" collapsed="false">
      <c r="A89" s="6" t="s">
        <v>154</v>
      </c>
      <c r="B89" s="6" t="s">
        <v>133</v>
      </c>
      <c r="C89" s="6" t="s">
        <v>135</v>
      </c>
      <c r="D89" s="13" t="n">
        <v>22.853</v>
      </c>
      <c r="E89" s="13" t="n">
        <v>8.862</v>
      </c>
      <c r="F89" s="15" t="n">
        <v>18.7279135308</v>
      </c>
      <c r="G89" s="15" t="n">
        <v>8.00833813408</v>
      </c>
      <c r="H89" s="14" t="n">
        <f aca="false">(F89-D89)/ABS(D89)</f>
        <v>-0.180505249603991</v>
      </c>
      <c r="I89" s="11" t="n">
        <f aca="false">(F89-D89)/E89</f>
        <v>-0.465480305709772</v>
      </c>
      <c r="J89" s="11" t="n">
        <f aca="false">ABS(I89)</f>
        <v>0.465480305709772</v>
      </c>
      <c r="K89" s="14" t="n">
        <f aca="false">(G89-E89)/E89</f>
        <v>-0.0963283531843827</v>
      </c>
    </row>
    <row r="90" customFormat="false" ht="15" hidden="false" customHeight="true" outlineLevel="0" collapsed="false">
      <c r="A90" s="6" t="s">
        <v>154</v>
      </c>
      <c r="B90" s="6" t="s">
        <v>133</v>
      </c>
      <c r="C90" s="6" t="s">
        <v>136</v>
      </c>
      <c r="D90" s="13" t="n">
        <v>0.0923</v>
      </c>
      <c r="E90" s="13" t="n">
        <v>0.0106</v>
      </c>
      <c r="F90" s="15" t="n">
        <v>0.086104868132</v>
      </c>
      <c r="G90" s="15" t="n">
        <v>0.00806756015037</v>
      </c>
      <c r="H90" s="14" t="n">
        <f aca="false">(F90-D90)/ABS(D90)</f>
        <v>-0.0671195218634886</v>
      </c>
      <c r="I90" s="11" t="n">
        <f aca="false">(F90-D90)/E90</f>
        <v>-0.584446402641509</v>
      </c>
      <c r="J90" s="11" t="n">
        <f aca="false">ABS(I90)</f>
        <v>0.584446402641509</v>
      </c>
      <c r="K90" s="14" t="n">
        <f aca="false">(G90-E90)/E90</f>
        <v>-0.238909419776415</v>
      </c>
    </row>
    <row r="91" customFormat="false" ht="15" hidden="false" customHeight="true" outlineLevel="0" collapsed="false">
      <c r="A91" s="6" t="s">
        <v>154</v>
      </c>
      <c r="B91" s="6" t="s">
        <v>133</v>
      </c>
      <c r="C91" s="6" t="s">
        <v>137</v>
      </c>
      <c r="D91" s="13" t="n">
        <v>9.759</v>
      </c>
      <c r="E91" s="13" t="n">
        <v>0.37</v>
      </c>
      <c r="F91" s="15" t="n">
        <v>9.76505196595</v>
      </c>
      <c r="G91" s="15" t="n">
        <v>0.352723511942</v>
      </c>
      <c r="H91" s="14" t="n">
        <f aca="false">(F91-D91)/ABS(D91)</f>
        <v>0.000620142017624781</v>
      </c>
      <c r="I91" s="11" t="n">
        <f aca="false">(F91-D91)/E91</f>
        <v>0.0163566647297304</v>
      </c>
      <c r="J91" s="11" t="n">
        <f aca="false">ABS(I91)</f>
        <v>0.0163566647297304</v>
      </c>
      <c r="K91" s="14" t="n">
        <f aca="false">(G91-E91)/E91</f>
        <v>-0.0466932109675675</v>
      </c>
    </row>
    <row r="92" customFormat="false" ht="15" hidden="false" customHeight="true" outlineLevel="0" collapsed="false">
      <c r="A92" s="6" t="s">
        <v>154</v>
      </c>
      <c r="B92" s="6" t="s">
        <v>133</v>
      </c>
      <c r="C92" s="6" t="s">
        <v>138</v>
      </c>
      <c r="D92" s="13" t="n">
        <v>0.565</v>
      </c>
      <c r="E92" s="13"/>
      <c r="F92" s="15" t="n">
        <v>0.548396744639</v>
      </c>
      <c r="G92" s="15"/>
      <c r="H92" s="14" t="n">
        <f aca="false">(F92-D92)/ABS(D92)</f>
        <v>-0.0293862926743362</v>
      </c>
      <c r="I92" s="11"/>
      <c r="J92" s="11"/>
      <c r="K92" s="14"/>
    </row>
    <row r="93" customFormat="false" ht="15" hidden="false" customHeight="true" outlineLevel="0" collapsed="false">
      <c r="A93" s="6" t="s">
        <v>154</v>
      </c>
      <c r="B93" s="6" t="s">
        <v>133</v>
      </c>
      <c r="C93" s="6" t="s">
        <v>139</v>
      </c>
      <c r="D93" s="13" t="n">
        <v>0.936</v>
      </c>
      <c r="E93" s="13"/>
      <c r="F93" s="15" t="n">
        <v>0.939895112063</v>
      </c>
      <c r="G93" s="15"/>
      <c r="H93" s="14" t="n">
        <f aca="false">(F93-D93)/ABS(D93)</f>
        <v>0.00416144451175211</v>
      </c>
      <c r="I93" s="11"/>
      <c r="J93" s="11"/>
      <c r="K93" s="14"/>
    </row>
    <row r="94" customFormat="false" ht="15" hidden="false" customHeight="true" outlineLevel="0" collapsed="false">
      <c r="A94" s="6" t="s">
        <v>155</v>
      </c>
      <c r="B94" s="6" t="s">
        <v>133</v>
      </c>
      <c r="C94" s="6" t="s">
        <v>134</v>
      </c>
      <c r="D94" s="13" t="n">
        <v>2.691</v>
      </c>
      <c r="E94" s="13" t="n">
        <v>0.449</v>
      </c>
      <c r="F94" s="15" t="n">
        <v>2.64831555962</v>
      </c>
      <c r="G94" s="15" t="n">
        <v>0.452043681051</v>
      </c>
      <c r="H94" s="14" t="n">
        <f aca="false">(F94-D94)/ABS(D94)</f>
        <v>-0.0158619250761798</v>
      </c>
      <c r="I94" s="11" t="n">
        <f aca="false">(F94-D94)/E94</f>
        <v>-0.0950655687750556</v>
      </c>
      <c r="J94" s="11" t="n">
        <f aca="false">ABS(I94)</f>
        <v>0.0950655687750556</v>
      </c>
      <c r="K94" s="14" t="n">
        <f aca="false">(G94-E94)/E94</f>
        <v>0.00677879966815145</v>
      </c>
    </row>
    <row r="95" customFormat="false" ht="15" hidden="false" customHeight="true" outlineLevel="0" collapsed="false">
      <c r="A95" s="6" t="s">
        <v>155</v>
      </c>
      <c r="B95" s="6" t="s">
        <v>133</v>
      </c>
      <c r="C95" s="6" t="s">
        <v>135</v>
      </c>
      <c r="D95" s="13" t="n">
        <v>20.877</v>
      </c>
      <c r="E95" s="13" t="n">
        <v>6.601</v>
      </c>
      <c r="F95" s="15" t="n">
        <v>17.7249926831</v>
      </c>
      <c r="G95" s="15" t="n">
        <v>6.17127435552</v>
      </c>
      <c r="H95" s="14" t="n">
        <f aca="false">(F95-D95)/ABS(D95)</f>
        <v>-0.150979897346362</v>
      </c>
      <c r="I95" s="11" t="n">
        <f aca="false">(F95-D95)/E95</f>
        <v>-0.477504517027723</v>
      </c>
      <c r="J95" s="11" t="n">
        <f aca="false">ABS(I95)</f>
        <v>0.477504517027723</v>
      </c>
      <c r="K95" s="14" t="n">
        <f aca="false">(G95-E95)/E95</f>
        <v>-0.0651000824844721</v>
      </c>
    </row>
    <row r="96" customFormat="false" ht="15" hidden="false" customHeight="true" outlineLevel="0" collapsed="false">
      <c r="A96" s="6" t="s">
        <v>155</v>
      </c>
      <c r="B96" s="6" t="s">
        <v>133</v>
      </c>
      <c r="C96" s="6" t="s">
        <v>136</v>
      </c>
      <c r="D96" s="13" t="n">
        <v>0.0992</v>
      </c>
      <c r="E96" s="13" t="n">
        <v>0.00931</v>
      </c>
      <c r="F96" s="15" t="n">
        <v>0.0925877092637</v>
      </c>
      <c r="G96" s="15" t="n">
        <v>0.00743847694314</v>
      </c>
      <c r="H96" s="14" t="n">
        <f aca="false">(F96-D96)/ABS(D96)</f>
        <v>-0.0666561566159274</v>
      </c>
      <c r="I96" s="11" t="n">
        <f aca="false">(F96-D96)/E96</f>
        <v>-0.710235310021482</v>
      </c>
      <c r="J96" s="11" t="n">
        <f aca="false">ABS(I96)</f>
        <v>0.710235310021482</v>
      </c>
      <c r="K96" s="14" t="n">
        <f aca="false">(G96-E96)/E96</f>
        <v>-0.201022884732546</v>
      </c>
    </row>
    <row r="97" customFormat="false" ht="15" hidden="false" customHeight="true" outlineLevel="0" collapsed="false">
      <c r="A97" s="6" t="s">
        <v>155</v>
      </c>
      <c r="B97" s="6" t="s">
        <v>133</v>
      </c>
      <c r="C97" s="6" t="s">
        <v>137</v>
      </c>
      <c r="D97" s="13" t="n">
        <v>9.403</v>
      </c>
      <c r="E97" s="13" t="n">
        <v>0.279</v>
      </c>
      <c r="F97" s="15" t="n">
        <v>9.43037027627</v>
      </c>
      <c r="G97" s="15" t="n">
        <v>0.266969661678</v>
      </c>
      <c r="H97" s="14" t="n">
        <f aca="false">(F97-D97)/ABS(D97)</f>
        <v>0.00291080253855154</v>
      </c>
      <c r="I97" s="11" t="n">
        <f aca="false">(F97-D97)/E97</f>
        <v>0.0981013486379932</v>
      </c>
      <c r="J97" s="11" t="n">
        <f aca="false">ABS(I97)</f>
        <v>0.0981013486379932</v>
      </c>
      <c r="K97" s="14" t="n">
        <f aca="false">(G97-E97)/E97</f>
        <v>-0.0431194921935484</v>
      </c>
    </row>
    <row r="98" customFormat="false" ht="15" hidden="false" customHeight="true" outlineLevel="0" collapsed="false">
      <c r="A98" s="6" t="s">
        <v>155</v>
      </c>
      <c r="B98" s="6" t="s">
        <v>133</v>
      </c>
      <c r="C98" s="6" t="s">
        <v>138</v>
      </c>
      <c r="D98" s="13" t="n">
        <v>0.463</v>
      </c>
      <c r="E98" s="13"/>
      <c r="F98" s="15" t="n">
        <v>0.453044016517</v>
      </c>
      <c r="G98" s="15"/>
      <c r="H98" s="14" t="n">
        <f aca="false">(F98-D98)/ABS(D98)</f>
        <v>-0.0215032040669547</v>
      </c>
      <c r="I98" s="11"/>
      <c r="J98" s="11"/>
      <c r="K98" s="14"/>
    </row>
    <row r="99" customFormat="false" ht="15" hidden="false" customHeight="true" outlineLevel="0" collapsed="false">
      <c r="A99" s="6" t="s">
        <v>155</v>
      </c>
      <c r="B99" s="6" t="s">
        <v>133</v>
      </c>
      <c r="C99" s="6" t="s">
        <v>139</v>
      </c>
      <c r="D99" s="13" t="n">
        <v>0.95</v>
      </c>
      <c r="E99" s="13"/>
      <c r="F99" s="15" t="n">
        <v>0.952485423945</v>
      </c>
      <c r="G99" s="15"/>
      <c r="H99" s="14" t="n">
        <f aca="false">(F99-D99)/ABS(D99)</f>
        <v>0.00261623573157902</v>
      </c>
      <c r="I99" s="11"/>
      <c r="J99" s="11"/>
      <c r="K99" s="14"/>
    </row>
    <row r="100" customFormat="false" ht="15" hidden="false" customHeight="true" outlineLevel="0" collapsed="false">
      <c r="A100" s="6" t="s">
        <v>156</v>
      </c>
      <c r="B100" s="6" t="s">
        <v>133</v>
      </c>
      <c r="C100" s="6" t="s">
        <v>134</v>
      </c>
      <c r="D100" s="13" t="n">
        <v>3.439</v>
      </c>
      <c r="E100" s="13" t="n">
        <v>0.135</v>
      </c>
      <c r="F100" s="15" t="n">
        <v>3.4530981098</v>
      </c>
      <c r="G100" s="15" t="n">
        <v>0.126145239983</v>
      </c>
      <c r="H100" s="14" t="n">
        <f aca="false">(F100-D100)/ABS(D100)</f>
        <v>0.00409947944169815</v>
      </c>
      <c r="I100" s="11" t="n">
        <f aca="false">(F100-D100)/E100</f>
        <v>0.104430442962962</v>
      </c>
      <c r="J100" s="11" t="n">
        <f aca="false">ABS(I100)</f>
        <v>0.104430442962962</v>
      </c>
      <c r="K100" s="14" t="n">
        <f aca="false">(G100-E100)/E100</f>
        <v>-0.0655908149407408</v>
      </c>
    </row>
    <row r="101" customFormat="false" ht="15" hidden="false" customHeight="true" outlineLevel="0" collapsed="false">
      <c r="A101" s="6" t="s">
        <v>156</v>
      </c>
      <c r="B101" s="6" t="s">
        <v>133</v>
      </c>
      <c r="C101" s="6" t="s">
        <v>135</v>
      </c>
      <c r="D101" s="13" t="n">
        <v>53.258</v>
      </c>
      <c r="E101" s="13" t="n">
        <v>5.686</v>
      </c>
      <c r="F101" s="15" t="n">
        <v>52.1915143893</v>
      </c>
      <c r="G101" s="15" t="n">
        <v>5.27993733315</v>
      </c>
      <c r="H101" s="14" t="n">
        <f aca="false">(F101-D101)/ABS(D101)</f>
        <v>-0.020024890358256</v>
      </c>
      <c r="I101" s="11" t="n">
        <f aca="false">(F101-D101)/E101</f>
        <v>-0.187563420805487</v>
      </c>
      <c r="J101" s="11" t="n">
        <f aca="false">ABS(I101)</f>
        <v>0.187563420805487</v>
      </c>
      <c r="K101" s="14" t="n">
        <f aca="false">(G101-E101)/E101</f>
        <v>-0.0714144683169187</v>
      </c>
    </row>
    <row r="102" customFormat="false" ht="15" hidden="false" customHeight="true" outlineLevel="0" collapsed="false">
      <c r="A102" s="6" t="s">
        <v>156</v>
      </c>
      <c r="B102" s="6" t="s">
        <v>133</v>
      </c>
      <c r="C102" s="6" t="s">
        <v>136</v>
      </c>
      <c r="D102" s="13" t="n">
        <v>0.0685</v>
      </c>
      <c r="E102" s="13" t="n">
        <v>0.011</v>
      </c>
      <c r="F102" s="15" t="n">
        <v>0.0663454407644</v>
      </c>
      <c r="G102" s="15" t="n">
        <v>0.00995227477617</v>
      </c>
      <c r="H102" s="14" t="n">
        <f aca="false">(F102-D102)/ABS(D102)</f>
        <v>-0.0314534194978104</v>
      </c>
      <c r="I102" s="11" t="n">
        <f aca="false">(F102-D102)/E102</f>
        <v>-0.195869021418183</v>
      </c>
      <c r="J102" s="11" t="n">
        <f aca="false">ABS(I102)</f>
        <v>0.195869021418183</v>
      </c>
      <c r="K102" s="14" t="n">
        <f aca="false">(G102-E102)/E102</f>
        <v>-0.095247747620909</v>
      </c>
    </row>
    <row r="103" customFormat="false" ht="15" hidden="false" customHeight="true" outlineLevel="0" collapsed="false">
      <c r="A103" s="6" t="s">
        <v>156</v>
      </c>
      <c r="B103" s="6" t="s">
        <v>133</v>
      </c>
      <c r="C103" s="6" t="s">
        <v>137</v>
      </c>
      <c r="D103" s="13" t="n">
        <v>8.25</v>
      </c>
      <c r="E103" s="13" t="n">
        <v>0.125</v>
      </c>
      <c r="F103" s="15" t="n">
        <v>8.24709922412</v>
      </c>
      <c r="G103" s="15" t="n">
        <v>0.11745823005</v>
      </c>
      <c r="H103" s="14" t="n">
        <f aca="false">(F103-D103)/ABS(D103)</f>
        <v>-0.00035160919757583</v>
      </c>
      <c r="I103" s="11" t="n">
        <f aca="false">(F103-D103)/E103</f>
        <v>-0.0232062070400048</v>
      </c>
      <c r="J103" s="11" t="n">
        <f aca="false">ABS(I103)</f>
        <v>0.0232062070400048</v>
      </c>
      <c r="K103" s="14" t="n">
        <f aca="false">(G103-E103)/E103</f>
        <v>-0.0603341596</v>
      </c>
    </row>
    <row r="104" customFormat="false" ht="15" hidden="false" customHeight="true" outlineLevel="0" collapsed="false">
      <c r="A104" s="6" t="s">
        <v>156</v>
      </c>
      <c r="B104" s="6" t="s">
        <v>133</v>
      </c>
      <c r="C104" s="6" t="s">
        <v>138</v>
      </c>
      <c r="D104" s="13" t="n">
        <v>0.265</v>
      </c>
      <c r="E104" s="13"/>
      <c r="F104" s="15" t="n">
        <v>0.252849205567</v>
      </c>
      <c r="G104" s="15"/>
      <c r="H104" s="14" t="n">
        <f aca="false">(F104-D104)/ABS(D104)</f>
        <v>-0.0458520544641509</v>
      </c>
      <c r="I104" s="11"/>
      <c r="J104" s="11"/>
      <c r="K104" s="14"/>
    </row>
    <row r="105" customFormat="false" ht="15" hidden="false" customHeight="true" outlineLevel="0" collapsed="false">
      <c r="A105" s="6" t="s">
        <v>156</v>
      </c>
      <c r="B105" s="6" t="s">
        <v>133</v>
      </c>
      <c r="C105" s="6" t="s">
        <v>139</v>
      </c>
      <c r="D105" s="13" t="n">
        <v>0.985</v>
      </c>
      <c r="E105" s="13"/>
      <c r="F105" s="15" t="n">
        <v>0.986472796883</v>
      </c>
      <c r="G105" s="15"/>
      <c r="H105" s="14" t="n">
        <f aca="false">(F105-D105)/ABS(D105)</f>
        <v>0.001495225261929</v>
      </c>
      <c r="I105" s="11"/>
      <c r="J105" s="11"/>
      <c r="K105" s="14"/>
    </row>
    <row r="106" customFormat="false" ht="15" hidden="false" customHeight="true" outlineLevel="0" collapsed="false">
      <c r="A106" s="6" t="s">
        <v>157</v>
      </c>
      <c r="B106" s="6" t="s">
        <v>133</v>
      </c>
      <c r="C106" s="6" t="s">
        <v>134</v>
      </c>
      <c r="D106" s="13" t="n">
        <v>3.325</v>
      </c>
      <c r="E106" s="13" t="n">
        <v>0.148</v>
      </c>
      <c r="F106" s="15" t="n">
        <v>3.3484942098</v>
      </c>
      <c r="G106" s="15" t="n">
        <v>0.14296935869</v>
      </c>
      <c r="H106" s="14" t="n">
        <f aca="false">(F106-D106)/ABS(D106)</f>
        <v>0.00706592775939848</v>
      </c>
      <c r="I106" s="11" t="n">
        <f aca="false">(F106-D106)/E106</f>
        <v>0.15874466081081</v>
      </c>
      <c r="J106" s="11" t="n">
        <f aca="false">ABS(I106)</f>
        <v>0.15874466081081</v>
      </c>
      <c r="K106" s="14" t="n">
        <f aca="false">(G106-E106)/E106</f>
        <v>-0.0339908196621622</v>
      </c>
    </row>
    <row r="107" customFormat="false" ht="15" hidden="false" customHeight="true" outlineLevel="0" collapsed="false">
      <c r="A107" s="6" t="s">
        <v>157</v>
      </c>
      <c r="B107" s="6" t="s">
        <v>133</v>
      </c>
      <c r="C107" s="6" t="s">
        <v>135</v>
      </c>
      <c r="D107" s="13" t="n">
        <v>37.178</v>
      </c>
      <c r="E107" s="13" t="n">
        <v>5.275</v>
      </c>
      <c r="F107" s="15" t="n">
        <v>35.6096827898</v>
      </c>
      <c r="G107" s="15" t="n">
        <v>5.05935090944</v>
      </c>
      <c r="H107" s="14" t="n">
        <f aca="false">(F107-D107)/ABS(D107)</f>
        <v>-0.042184012324493</v>
      </c>
      <c r="I107" s="11" t="n">
        <f aca="false">(F107-D107)/E107</f>
        <v>-0.297311319469194</v>
      </c>
      <c r="J107" s="11" t="n">
        <f aca="false">ABS(I107)</f>
        <v>0.297311319469194</v>
      </c>
      <c r="K107" s="14" t="n">
        <f aca="false">(G107-E107)/E107</f>
        <v>-0.0408813441819906</v>
      </c>
    </row>
    <row r="108" customFormat="false" ht="15" hidden="false" customHeight="true" outlineLevel="0" collapsed="false">
      <c r="A108" s="6" t="s">
        <v>157</v>
      </c>
      <c r="B108" s="6" t="s">
        <v>133</v>
      </c>
      <c r="C108" s="6" t="s">
        <v>136</v>
      </c>
      <c r="D108" s="13" t="n">
        <v>0.0625</v>
      </c>
      <c r="E108" s="13" t="n">
        <v>0.00602</v>
      </c>
      <c r="F108" s="15" t="n">
        <v>0.0599418900839</v>
      </c>
      <c r="G108" s="15" t="n">
        <v>0.0055409276632</v>
      </c>
      <c r="H108" s="14" t="n">
        <f aca="false">(F108-D108)/ABS(D108)</f>
        <v>-0.0409297586576</v>
      </c>
      <c r="I108" s="11" t="n">
        <f aca="false">(F108-D108)/E108</f>
        <v>-0.424935202009966</v>
      </c>
      <c r="J108" s="11" t="n">
        <f aca="false">ABS(I108)</f>
        <v>0.424935202009966</v>
      </c>
      <c r="K108" s="14" t="n">
        <f aca="false">(G108-E108)/E108</f>
        <v>-0.0795801223920266</v>
      </c>
    </row>
    <row r="109" customFormat="false" ht="15" hidden="false" customHeight="true" outlineLevel="0" collapsed="false">
      <c r="A109" s="6" t="s">
        <v>157</v>
      </c>
      <c r="B109" s="6" t="s">
        <v>133</v>
      </c>
      <c r="C109" s="6" t="s">
        <v>137</v>
      </c>
      <c r="D109" s="13" t="n">
        <v>8.519</v>
      </c>
      <c r="E109" s="13" t="n">
        <v>0.241</v>
      </c>
      <c r="F109" s="15" t="n">
        <v>8.51035331949</v>
      </c>
      <c r="G109" s="15" t="n">
        <v>0.23433305096</v>
      </c>
      <c r="H109" s="14" t="n">
        <f aca="false">(F109-D109)/ABS(D109)</f>
        <v>-0.00101498773447599</v>
      </c>
      <c r="I109" s="11" t="n">
        <f aca="false">(F109-D109)/E109</f>
        <v>-0.0358783423651492</v>
      </c>
      <c r="J109" s="11" t="n">
        <f aca="false">ABS(I109)</f>
        <v>0.0358783423651492</v>
      </c>
      <c r="K109" s="14" t="n">
        <f aca="false">(G109-E109)/E109</f>
        <v>-0.0276636889626555</v>
      </c>
    </row>
    <row r="110" customFormat="false" ht="15" hidden="false" customHeight="true" outlineLevel="0" collapsed="false">
      <c r="A110" s="6" t="s">
        <v>157</v>
      </c>
      <c r="B110" s="6" t="s">
        <v>133</v>
      </c>
      <c r="C110" s="6" t="s">
        <v>138</v>
      </c>
      <c r="D110" s="13" t="n">
        <v>0.378</v>
      </c>
      <c r="E110" s="13"/>
      <c r="F110" s="15" t="n">
        <v>0.379041924325</v>
      </c>
      <c r="G110" s="15"/>
      <c r="H110" s="14" t="n">
        <f aca="false">(F110-D110)/ABS(D110)</f>
        <v>0.00275641355820106</v>
      </c>
      <c r="I110" s="11"/>
      <c r="J110" s="11"/>
      <c r="K110" s="14"/>
    </row>
    <row r="111" customFormat="false" ht="15" hidden="false" customHeight="true" outlineLevel="0" collapsed="false">
      <c r="A111" s="6" t="s">
        <v>157</v>
      </c>
      <c r="B111" s="6" t="s">
        <v>133</v>
      </c>
      <c r="C111" s="6" t="s">
        <v>139</v>
      </c>
      <c r="D111" s="13" t="n">
        <v>0.96</v>
      </c>
      <c r="E111" s="13"/>
      <c r="F111" s="15" t="n">
        <v>0.960170468292</v>
      </c>
      <c r="G111" s="15"/>
      <c r="H111" s="14" t="n">
        <f aca="false">(F111-D111)/ABS(D111)</f>
        <v>0.000177571137500073</v>
      </c>
      <c r="I111" s="11"/>
      <c r="J111" s="11"/>
      <c r="K111" s="14"/>
    </row>
    <row r="112" customFormat="false" ht="15" hidden="false" customHeight="true" outlineLevel="0" collapsed="false">
      <c r="A112" s="6" t="s">
        <v>158</v>
      </c>
      <c r="B112" s="6" t="s">
        <v>133</v>
      </c>
      <c r="C112" s="6" t="s">
        <v>134</v>
      </c>
      <c r="D112" s="13" t="n">
        <v>3.056</v>
      </c>
      <c r="E112" s="13" t="n">
        <v>0.147</v>
      </c>
      <c r="F112" s="15" t="n">
        <v>3.13514056975</v>
      </c>
      <c r="G112" s="15" t="n">
        <v>0.142242174803</v>
      </c>
      <c r="H112" s="14" t="n">
        <f aca="false">(F112-D112)/ABS(D112)</f>
        <v>0.025896783295157</v>
      </c>
      <c r="I112" s="11" t="n">
        <f aca="false">(F112-D112)/E112</f>
        <v>0.538371222789115</v>
      </c>
      <c r="J112" s="11" t="n">
        <f aca="false">ABS(I112)</f>
        <v>0.538371222789115</v>
      </c>
      <c r="K112" s="14" t="n">
        <f aca="false">(G112-E112)/E112</f>
        <v>-0.032366157802721</v>
      </c>
    </row>
    <row r="113" customFormat="false" ht="15" hidden="false" customHeight="true" outlineLevel="0" collapsed="false">
      <c r="A113" s="6" t="s">
        <v>158</v>
      </c>
      <c r="B113" s="6" t="s">
        <v>133</v>
      </c>
      <c r="C113" s="6" t="s">
        <v>135</v>
      </c>
      <c r="D113" s="13" t="n">
        <v>13.778</v>
      </c>
      <c r="E113" s="13" t="n">
        <v>5.931</v>
      </c>
      <c r="F113" s="15" t="n">
        <v>14.0749953776</v>
      </c>
      <c r="G113" s="15" t="n">
        <v>5.07793686514</v>
      </c>
      <c r="H113" s="14" t="n">
        <f aca="false">(F113-D113)/ABS(D113)</f>
        <v>0.0215557684424445</v>
      </c>
      <c r="I113" s="11" t="n">
        <f aca="false">(F113-D113)/E113</f>
        <v>0.0500750931714719</v>
      </c>
      <c r="J113" s="11" t="n">
        <f aca="false">ABS(I113)</f>
        <v>0.0500750931714719</v>
      </c>
      <c r="K113" s="14" t="n">
        <f aca="false">(G113-E113)/E113</f>
        <v>-0.143831248501096</v>
      </c>
    </row>
    <row r="114" customFormat="false" ht="15" hidden="false" customHeight="true" outlineLevel="0" collapsed="false">
      <c r="A114" s="6" t="s">
        <v>158</v>
      </c>
      <c r="B114" s="6" t="s">
        <v>133</v>
      </c>
      <c r="C114" s="6" t="s">
        <v>136</v>
      </c>
      <c r="D114" s="13" t="n">
        <v>0.0405</v>
      </c>
      <c r="E114" s="13" t="n">
        <v>0.00157</v>
      </c>
      <c r="F114" s="15" t="n">
        <v>0.0395013585142</v>
      </c>
      <c r="G114" s="15" t="n">
        <v>0.00122567870752</v>
      </c>
      <c r="H114" s="14" t="n">
        <f aca="false">(F114-D114)/ABS(D114)</f>
        <v>-0.0246578144641975</v>
      </c>
      <c r="I114" s="11" t="n">
        <f aca="false">(F114-D114)/E114</f>
        <v>-0.636077379490445</v>
      </c>
      <c r="J114" s="11" t="n">
        <f aca="false">ABS(I114)</f>
        <v>0.636077379490445</v>
      </c>
      <c r="K114" s="14" t="n">
        <f aca="false">(G114-E114)/E114</f>
        <v>-0.219312925146497</v>
      </c>
    </row>
    <row r="115" customFormat="false" ht="15" hidden="false" customHeight="true" outlineLevel="0" collapsed="false">
      <c r="A115" s="6" t="s">
        <v>158</v>
      </c>
      <c r="B115" s="6" t="s">
        <v>133</v>
      </c>
      <c r="C115" s="6" t="s">
        <v>137</v>
      </c>
      <c r="D115" s="13" t="n">
        <v>9.875</v>
      </c>
      <c r="E115" s="13" t="n">
        <v>0.203</v>
      </c>
      <c r="F115" s="15" t="n">
        <v>9.87080476809</v>
      </c>
      <c r="G115" s="15" t="n">
        <v>0.182564419212</v>
      </c>
      <c r="H115" s="14" t="n">
        <f aca="false">(F115-D115)/ABS(D115)</f>
        <v>-0.000424833611139222</v>
      </c>
      <c r="I115" s="11" t="n">
        <f aca="false">(F115-D115)/E115</f>
        <v>-0.0206661670443341</v>
      </c>
      <c r="J115" s="11" t="n">
        <f aca="false">ABS(I115)</f>
        <v>0.0206661670443341</v>
      </c>
      <c r="K115" s="14" t="n">
        <f aca="false">(G115-E115)/E115</f>
        <v>-0.100667885655172</v>
      </c>
    </row>
    <row r="116" customFormat="false" ht="15" hidden="false" customHeight="true" outlineLevel="0" collapsed="false">
      <c r="A116" s="6" t="s">
        <v>158</v>
      </c>
      <c r="B116" s="6" t="s">
        <v>133</v>
      </c>
      <c r="C116" s="6" t="s">
        <v>138</v>
      </c>
      <c r="D116" s="13" t="n">
        <v>0.193</v>
      </c>
      <c r="E116" s="13"/>
      <c r="F116" s="15" t="n">
        <v>0.181464154276</v>
      </c>
      <c r="G116" s="15"/>
      <c r="H116" s="14" t="n">
        <f aca="false">(F116-D116)/ABS(D116)</f>
        <v>-0.0597712213678757</v>
      </c>
      <c r="I116" s="11"/>
      <c r="J116" s="11"/>
      <c r="K116" s="14"/>
    </row>
    <row r="117" customFormat="false" ht="15" hidden="false" customHeight="true" outlineLevel="0" collapsed="false">
      <c r="A117" s="6" t="s">
        <v>158</v>
      </c>
      <c r="B117" s="6" t="s">
        <v>133</v>
      </c>
      <c r="C117" s="6" t="s">
        <v>139</v>
      </c>
      <c r="D117" s="13" t="n">
        <v>0.992</v>
      </c>
      <c r="E117" s="13"/>
      <c r="F117" s="15" t="n">
        <v>0.993315877721</v>
      </c>
      <c r="G117" s="15"/>
      <c r="H117" s="14" t="n">
        <f aca="false">(F117-D117)/ABS(D117)</f>
        <v>0.0013264896381049</v>
      </c>
      <c r="I117" s="11"/>
      <c r="J117" s="11"/>
      <c r="K117" s="14"/>
    </row>
    <row r="118" customFormat="false" ht="15" hidden="false" customHeight="true" outlineLevel="0" collapsed="false">
      <c r="A118" s="6" t="s">
        <v>159</v>
      </c>
      <c r="B118" s="6" t="s">
        <v>133</v>
      </c>
      <c r="C118" s="6" t="s">
        <v>134</v>
      </c>
      <c r="D118" s="13" t="n">
        <v>2.729</v>
      </c>
      <c r="E118" s="13" t="n">
        <v>0.0381</v>
      </c>
      <c r="F118" s="15" t="n">
        <v>2.76282511139</v>
      </c>
      <c r="G118" s="15" t="n">
        <v>0.0357340429043</v>
      </c>
      <c r="H118" s="14" t="n">
        <f aca="false">(F118-D118)/ABS(D118)</f>
        <v>0.0123946908721144</v>
      </c>
      <c r="I118" s="11" t="n">
        <f aca="false">(F118-D118)/E118</f>
        <v>0.887798199212601</v>
      </c>
      <c r="J118" s="11" t="n">
        <f aca="false">ABS(I118)</f>
        <v>0.887798199212601</v>
      </c>
      <c r="K118" s="14" t="n">
        <f aca="false">(G118-E118)/E118</f>
        <v>-0.0620986114356957</v>
      </c>
    </row>
    <row r="119" customFormat="false" ht="15" hidden="false" customHeight="true" outlineLevel="0" collapsed="false">
      <c r="A119" s="6" t="s">
        <v>159</v>
      </c>
      <c r="B119" s="6" t="s">
        <v>133</v>
      </c>
      <c r="C119" s="6" t="s">
        <v>135</v>
      </c>
      <c r="D119" s="13" t="n">
        <v>27.309</v>
      </c>
      <c r="E119" s="13" t="n">
        <v>1.349</v>
      </c>
      <c r="F119" s="15" t="n">
        <v>25.5367818071</v>
      </c>
      <c r="G119" s="15" t="n">
        <v>1.24359712519</v>
      </c>
      <c r="H119" s="14" t="n">
        <f aca="false">(F119-D119)/ABS(D119)</f>
        <v>-0.0648950233585998</v>
      </c>
      <c r="I119" s="11" t="n">
        <f aca="false">(F119-D119)/E119</f>
        <v>-1.3137273483321</v>
      </c>
      <c r="J119" s="11" t="n">
        <f aca="false">ABS(I119)</f>
        <v>1.3137273483321</v>
      </c>
      <c r="K119" s="14" t="n">
        <f aca="false">(G119-E119)/E119</f>
        <v>-0.078134080659748</v>
      </c>
    </row>
    <row r="120" customFormat="false" ht="15" hidden="false" customHeight="true" outlineLevel="0" collapsed="false">
      <c r="A120" s="6" t="s">
        <v>159</v>
      </c>
      <c r="B120" s="6" t="s">
        <v>133</v>
      </c>
      <c r="C120" s="6" t="s">
        <v>136</v>
      </c>
      <c r="D120" s="13" t="n">
        <v>0.0758</v>
      </c>
      <c r="E120" s="13" t="n">
        <v>0.00212</v>
      </c>
      <c r="F120" s="15" t="n">
        <v>0.0718825499523</v>
      </c>
      <c r="G120" s="15" t="n">
        <v>0.0018349966753</v>
      </c>
      <c r="H120" s="14" t="n">
        <f aca="false">(F120-D120)/ABS(D120)</f>
        <v>-0.0516813990461741</v>
      </c>
      <c r="I120" s="11" t="n">
        <f aca="false">(F120-D120)/E120</f>
        <v>-1.84785379608491</v>
      </c>
      <c r="J120" s="11" t="n">
        <f aca="false">ABS(I120)</f>
        <v>1.84785379608491</v>
      </c>
      <c r="K120" s="14" t="n">
        <f aca="false">(G120-E120)/E120</f>
        <v>-0.134435530518868</v>
      </c>
    </row>
    <row r="121" customFormat="false" ht="15" hidden="false" customHeight="true" outlineLevel="0" collapsed="false">
      <c r="A121" s="6" t="s">
        <v>159</v>
      </c>
      <c r="B121" s="6" t="s">
        <v>133</v>
      </c>
      <c r="C121" s="6" t="s">
        <v>137</v>
      </c>
      <c r="D121" s="13" t="n">
        <v>8.198</v>
      </c>
      <c r="E121" s="13" t="n">
        <v>0.0519</v>
      </c>
      <c r="F121" s="15" t="n">
        <v>8.19795010862</v>
      </c>
      <c r="G121" s="15" t="n">
        <v>0.0507941600923</v>
      </c>
      <c r="H121" s="14" t="n">
        <f aca="false">(F121-D121)/ABS(D121)</f>
        <v>-6.08579897533276E-006</v>
      </c>
      <c r="I121" s="11" t="n">
        <f aca="false">(F121-D121)/E121</f>
        <v>-0.000961298265891676</v>
      </c>
      <c r="J121" s="11" t="n">
        <f aca="false">ABS(I121)</f>
        <v>0.000961298265891676</v>
      </c>
      <c r="K121" s="14" t="n">
        <f aca="false">(G121-E121)/E121</f>
        <v>-0.0213071273159923</v>
      </c>
    </row>
    <row r="122" customFormat="false" ht="15" hidden="false" customHeight="true" outlineLevel="0" collapsed="false">
      <c r="A122" s="6" t="s">
        <v>159</v>
      </c>
      <c r="B122" s="6" t="s">
        <v>133</v>
      </c>
      <c r="C122" s="6" t="s">
        <v>138</v>
      </c>
      <c r="D122" s="13" t="n">
        <v>0.104</v>
      </c>
      <c r="E122" s="13"/>
      <c r="F122" s="15" t="n">
        <v>0.101591508598</v>
      </c>
      <c r="G122" s="15"/>
      <c r="H122" s="14" t="n">
        <f aca="false">(F122-D122)/ABS(D122)</f>
        <v>-0.0231585711730769</v>
      </c>
      <c r="I122" s="11"/>
      <c r="J122" s="11"/>
      <c r="K122" s="14"/>
    </row>
    <row r="123" customFormat="false" ht="15" hidden="false" customHeight="true" outlineLevel="0" collapsed="false">
      <c r="A123" s="6" t="s">
        <v>159</v>
      </c>
      <c r="B123" s="6" t="s">
        <v>133</v>
      </c>
      <c r="C123" s="6" t="s">
        <v>139</v>
      </c>
      <c r="D123" s="13" t="n">
        <v>0.997</v>
      </c>
      <c r="E123" s="13"/>
      <c r="F123" s="15" t="n">
        <v>0.997348336951</v>
      </c>
      <c r="G123" s="15"/>
      <c r="H123" s="14" t="n">
        <f aca="false">(F123-D123)/ABS(D123)</f>
        <v>0.000349385106318963</v>
      </c>
      <c r="I123" s="11"/>
      <c r="J123" s="11"/>
      <c r="K123" s="14"/>
    </row>
    <row r="124" customFormat="false" ht="15" hidden="false" customHeight="true" outlineLevel="0" collapsed="false">
      <c r="A124" s="6" t="s">
        <v>160</v>
      </c>
      <c r="B124" s="6" t="s">
        <v>133</v>
      </c>
      <c r="C124" s="6" t="s">
        <v>134</v>
      </c>
      <c r="D124" s="13" t="n">
        <v>2.793</v>
      </c>
      <c r="E124" s="13" t="n">
        <v>0.0459</v>
      </c>
      <c r="F124" s="15" t="n">
        <v>2.813919389</v>
      </c>
      <c r="G124" s="15" t="n">
        <v>0.0453161337813</v>
      </c>
      <c r="H124" s="14" t="n">
        <f aca="false">(F124-D124)/ABS(D124)</f>
        <v>0.00748993519513065</v>
      </c>
      <c r="I124" s="11" t="n">
        <f aca="false">(F124-D124)/E124</f>
        <v>0.45576010893246</v>
      </c>
      <c r="J124" s="11" t="n">
        <f aca="false">ABS(I124)</f>
        <v>0.45576010893246</v>
      </c>
      <c r="K124" s="14" t="n">
        <f aca="false">(G124-E124)/E124</f>
        <v>-0.0127203969215687</v>
      </c>
    </row>
    <row r="125" customFormat="false" ht="15" hidden="false" customHeight="true" outlineLevel="0" collapsed="false">
      <c r="A125" s="6" t="s">
        <v>160</v>
      </c>
      <c r="B125" s="6" t="s">
        <v>133</v>
      </c>
      <c r="C125" s="6" t="s">
        <v>135</v>
      </c>
      <c r="D125" s="13" t="n">
        <v>24.732</v>
      </c>
      <c r="E125" s="13" t="n">
        <v>1.204</v>
      </c>
      <c r="F125" s="15" t="n">
        <v>22.948771644</v>
      </c>
      <c r="G125" s="15" t="n">
        <v>1.13707687836</v>
      </c>
      <c r="H125" s="14" t="n">
        <f aca="false">(F125-D125)/ABS(D125)</f>
        <v>-0.0721020684133915</v>
      </c>
      <c r="I125" s="11" t="n">
        <f aca="false">(F125-D125)/E125</f>
        <v>-1.4810866744186</v>
      </c>
      <c r="J125" s="11" t="n">
        <f aca="false">ABS(I125)</f>
        <v>1.4810866744186</v>
      </c>
      <c r="K125" s="14" t="n">
        <f aca="false">(G125-E125)/E125</f>
        <v>-0.0555839880730896</v>
      </c>
    </row>
    <row r="126" customFormat="false" ht="15" hidden="false" customHeight="true" outlineLevel="0" collapsed="false">
      <c r="A126" s="6" t="s">
        <v>160</v>
      </c>
      <c r="B126" s="6" t="s">
        <v>133</v>
      </c>
      <c r="C126" s="6" t="s">
        <v>136</v>
      </c>
      <c r="D126" s="13" t="n">
        <v>0.0963</v>
      </c>
      <c r="E126" s="13" t="n">
        <v>0.00261</v>
      </c>
      <c r="F126" s="15" t="n">
        <v>0.0908419916846</v>
      </c>
      <c r="G126" s="15" t="n">
        <v>0.00223010206166</v>
      </c>
      <c r="H126" s="14" t="n">
        <f aca="false">(F126-D126)/ABS(D126)</f>
        <v>-0.056677137231568</v>
      </c>
      <c r="I126" s="11" t="n">
        <f aca="false">(F126-D126)/E126</f>
        <v>-2.09119092544061</v>
      </c>
      <c r="J126" s="11" t="n">
        <f aca="false">ABS(I126)</f>
        <v>2.09119092544061</v>
      </c>
      <c r="K126" s="14" t="n">
        <f aca="false">(G126-E126)/E126</f>
        <v>-0.14555476564751</v>
      </c>
    </row>
    <row r="127" customFormat="false" ht="15" hidden="false" customHeight="true" outlineLevel="0" collapsed="false">
      <c r="A127" s="6" t="s">
        <v>160</v>
      </c>
      <c r="B127" s="6" t="s">
        <v>133</v>
      </c>
      <c r="C127" s="6" t="s">
        <v>137</v>
      </c>
      <c r="D127" s="13" t="n">
        <v>8.34</v>
      </c>
      <c r="E127" s="13" t="n">
        <v>0.0876</v>
      </c>
      <c r="F127" s="15" t="n">
        <v>8.34211627899</v>
      </c>
      <c r="G127" s="15" t="n">
        <v>0.0890179215905</v>
      </c>
      <c r="H127" s="14" t="n">
        <f aca="false">(F127-D127)/ABS(D127)</f>
        <v>0.000253750478417266</v>
      </c>
      <c r="I127" s="11" t="n">
        <f aca="false">(F127-D127)/E127</f>
        <v>0.0241584359589041</v>
      </c>
      <c r="J127" s="11" t="n">
        <f aca="false">ABS(I127)</f>
        <v>0.0241584359589041</v>
      </c>
      <c r="K127" s="14" t="n">
        <f aca="false">(G127-E127)/E127</f>
        <v>0.0161863195262557</v>
      </c>
    </row>
    <row r="128" customFormat="false" ht="15" hidden="false" customHeight="true" outlineLevel="0" collapsed="false">
      <c r="A128" s="6" t="s">
        <v>160</v>
      </c>
      <c r="B128" s="6" t="s">
        <v>133</v>
      </c>
      <c r="C128" s="6" t="s">
        <v>138</v>
      </c>
      <c r="D128" s="13" t="n">
        <v>0.126</v>
      </c>
      <c r="E128" s="13"/>
      <c r="F128" s="15" t="n">
        <v>0.127694798876</v>
      </c>
      <c r="G128" s="15"/>
      <c r="H128" s="14" t="n">
        <f aca="false">(F128-D128)/ABS(D128)</f>
        <v>0.0134507847301587</v>
      </c>
      <c r="I128" s="11"/>
      <c r="J128" s="11"/>
      <c r="K128" s="14"/>
    </row>
    <row r="129" customFormat="false" ht="15" hidden="false" customHeight="true" outlineLevel="0" collapsed="false">
      <c r="A129" s="6" t="s">
        <v>160</v>
      </c>
      <c r="B129" s="6" t="s">
        <v>133</v>
      </c>
      <c r="C129" s="6" t="s">
        <v>139</v>
      </c>
      <c r="D129" s="13" t="n">
        <v>0.996</v>
      </c>
      <c r="E129" s="13"/>
      <c r="F129" s="15" t="n">
        <v>0.996162295398</v>
      </c>
      <c r="G129" s="15"/>
      <c r="H129" s="14" t="n">
        <f aca="false">(F129-D129)/ABS(D129)</f>
        <v>0.000162947186747045</v>
      </c>
      <c r="I129" s="11"/>
      <c r="J129" s="11"/>
      <c r="K129" s="14"/>
    </row>
    <row r="130" customFormat="false" ht="15" hidden="false" customHeight="true" outlineLevel="0" collapsed="false">
      <c r="A130" s="6" t="s">
        <v>161</v>
      </c>
      <c r="B130" s="6" t="s">
        <v>133</v>
      </c>
      <c r="C130" s="6" t="s">
        <v>134</v>
      </c>
      <c r="D130" s="13" t="n">
        <v>2.65</v>
      </c>
      <c r="E130" s="13" t="n">
        <v>0.13</v>
      </c>
      <c r="F130" s="15" t="n">
        <v>2.64053745938</v>
      </c>
      <c r="G130" s="15" t="n">
        <v>0.13319516812</v>
      </c>
      <c r="H130" s="14" t="n">
        <f aca="false">(F130-D130)/ABS(D130)</f>
        <v>-0.003570770045283</v>
      </c>
      <c r="I130" s="11" t="n">
        <f aca="false">(F130-D130)/E130</f>
        <v>-0.0727887739999997</v>
      </c>
      <c r="J130" s="11" t="n">
        <f aca="false">ABS(I130)</f>
        <v>0.0727887739999997</v>
      </c>
      <c r="K130" s="14" t="n">
        <f aca="false">(G130-E130)/E130</f>
        <v>0.0245782163076924</v>
      </c>
    </row>
    <row r="131" customFormat="false" ht="15" hidden="false" customHeight="true" outlineLevel="0" collapsed="false">
      <c r="A131" s="6" t="s">
        <v>161</v>
      </c>
      <c r="B131" s="6" t="s">
        <v>133</v>
      </c>
      <c r="C131" s="6" t="s">
        <v>135</v>
      </c>
      <c r="D131" s="13" t="n">
        <v>5.566</v>
      </c>
      <c r="E131" s="13" t="n">
        <v>0.877</v>
      </c>
      <c r="F131" s="15" t="n">
        <v>4.83326536027</v>
      </c>
      <c r="G131" s="15" t="n">
        <v>0.895767681704</v>
      </c>
      <c r="H131" s="14" t="n">
        <f aca="false">(F131-D131)/ABS(D131)</f>
        <v>-0.131644743034495</v>
      </c>
      <c r="I131" s="11" t="n">
        <f aca="false">(F131-D131)/E131</f>
        <v>-0.835501299578107</v>
      </c>
      <c r="J131" s="11" t="n">
        <f aca="false">ABS(I131)</f>
        <v>0.835501299578107</v>
      </c>
      <c r="K131" s="14" t="n">
        <f aca="false">(G131-E131)/E131</f>
        <v>0.0213998651128848</v>
      </c>
    </row>
    <row r="132" customFormat="false" ht="15" hidden="false" customHeight="true" outlineLevel="0" collapsed="false">
      <c r="A132" s="6" t="s">
        <v>161</v>
      </c>
      <c r="B132" s="6" t="s">
        <v>133</v>
      </c>
      <c r="C132" s="6" t="s">
        <v>136</v>
      </c>
      <c r="D132" s="13" t="n">
        <v>0.215</v>
      </c>
      <c r="E132" s="13" t="n">
        <v>0.00682</v>
      </c>
      <c r="F132" s="15" t="n">
        <v>0.205013246983</v>
      </c>
      <c r="G132" s="15" t="n">
        <v>0.0061323323277</v>
      </c>
      <c r="H132" s="14" t="n">
        <f aca="false">(F132-D132)/ABS(D132)</f>
        <v>-0.0464500140325581</v>
      </c>
      <c r="I132" s="11" t="n">
        <f aca="false">(F132-D132)/E132</f>
        <v>-1.46433328695015</v>
      </c>
      <c r="J132" s="11" t="n">
        <f aca="false">ABS(I132)</f>
        <v>1.46433328695015</v>
      </c>
      <c r="K132" s="14" t="n">
        <f aca="false">(G132-E132)/E132</f>
        <v>-0.100831036994135</v>
      </c>
    </row>
    <row r="133" customFormat="false" ht="15" hidden="false" customHeight="true" outlineLevel="0" collapsed="false">
      <c r="A133" s="6" t="s">
        <v>161</v>
      </c>
      <c r="B133" s="6" t="s">
        <v>133</v>
      </c>
      <c r="C133" s="6" t="s">
        <v>137</v>
      </c>
      <c r="D133" s="13" t="n">
        <v>9.0228</v>
      </c>
      <c r="E133" s="13" t="n">
        <v>0.0718</v>
      </c>
      <c r="F133" s="15" t="n">
        <v>8.98812873246</v>
      </c>
      <c r="G133" s="15" t="n">
        <v>0.0696084041827</v>
      </c>
      <c r="H133" s="14" t="n">
        <f aca="false">(F133-D133)/ABS(D133)</f>
        <v>-0.00384262840138319</v>
      </c>
      <c r="I133" s="11" t="n">
        <f aca="false">(F133-D133)/E133</f>
        <v>-0.482886734540394</v>
      </c>
      <c r="J133" s="11" t="n">
        <f aca="false">ABS(I133)</f>
        <v>0.482886734540394</v>
      </c>
      <c r="K133" s="14" t="n">
        <f aca="false">(G133-E133)/E133</f>
        <v>-0.0305236186253481</v>
      </c>
    </row>
    <row r="134" customFormat="false" ht="15" hidden="false" customHeight="true" outlineLevel="0" collapsed="false">
      <c r="A134" s="6" t="s">
        <v>161</v>
      </c>
      <c r="B134" s="6" t="s">
        <v>133</v>
      </c>
      <c r="C134" s="6" t="s">
        <v>138</v>
      </c>
      <c r="D134" s="13" t="n">
        <v>0.131</v>
      </c>
      <c r="E134" s="13"/>
      <c r="F134" s="15" t="n">
        <v>0.133209917033</v>
      </c>
      <c r="G134" s="15"/>
      <c r="H134" s="14" t="n">
        <f aca="false">(F134-D134)/ABS(D134)</f>
        <v>0.0168695956717557</v>
      </c>
      <c r="I134" s="11"/>
      <c r="J134" s="11"/>
      <c r="K134" s="14"/>
    </row>
    <row r="135" customFormat="false" ht="15" hidden="false" customHeight="true" outlineLevel="0" collapsed="false">
      <c r="A135" s="6" t="s">
        <v>161</v>
      </c>
      <c r="B135" s="6" t="s">
        <v>133</v>
      </c>
      <c r="C135" s="6" t="s">
        <v>139</v>
      </c>
      <c r="D135" s="13" t="n">
        <v>0.995</v>
      </c>
      <c r="E135" s="13"/>
      <c r="F135" s="15" t="n">
        <v>0.995296626136</v>
      </c>
      <c r="G135" s="15"/>
      <c r="H135" s="14" t="n">
        <f aca="false">(F135-D135)/ABS(D135)</f>
        <v>0.000298116719598001</v>
      </c>
      <c r="I135" s="11"/>
      <c r="J135" s="11"/>
      <c r="K135" s="14"/>
    </row>
    <row r="136" customFormat="false" ht="15" hidden="false" customHeight="true" outlineLevel="0" collapsed="false">
      <c r="A136" s="6" t="s">
        <v>162</v>
      </c>
      <c r="B136" s="6" t="s">
        <v>133</v>
      </c>
      <c r="C136" s="6" t="s">
        <v>134</v>
      </c>
      <c r="D136" s="13" t="n">
        <v>3.253</v>
      </c>
      <c r="E136" s="13" t="n">
        <v>0.0701</v>
      </c>
      <c r="F136" s="15" t="n">
        <v>3.27342552611</v>
      </c>
      <c r="G136" s="15" t="n">
        <v>0.0689376665984</v>
      </c>
      <c r="H136" s="14" t="n">
        <f aca="false">(F136-D136)/ABS(D136)</f>
        <v>0.00627898128189361</v>
      </c>
      <c r="I136" s="11" t="n">
        <f aca="false">(F136-D136)/E136</f>
        <v>0.291376977318116</v>
      </c>
      <c r="J136" s="11" t="n">
        <f aca="false">ABS(I136)</f>
        <v>0.291376977318116</v>
      </c>
      <c r="K136" s="14" t="n">
        <f aca="false">(G136-E136)/E136</f>
        <v>-0.0165810756291012</v>
      </c>
    </row>
    <row r="137" customFormat="false" ht="15" hidden="false" customHeight="true" outlineLevel="0" collapsed="false">
      <c r="A137" s="6" t="s">
        <v>162</v>
      </c>
      <c r="B137" s="6" t="s">
        <v>133</v>
      </c>
      <c r="C137" s="6" t="s">
        <v>135</v>
      </c>
      <c r="D137" s="13" t="n">
        <v>15.545</v>
      </c>
      <c r="E137" s="13" t="n">
        <v>1.0414</v>
      </c>
      <c r="F137" s="15" t="n">
        <v>14.7931975824</v>
      </c>
      <c r="G137" s="15" t="n">
        <v>1.00507733171</v>
      </c>
      <c r="H137" s="14" t="n">
        <f aca="false">(F137-D137)/ABS(D137)</f>
        <v>-0.0483629731489225</v>
      </c>
      <c r="I137" s="11" t="n">
        <f aca="false">(F137-D137)/E137</f>
        <v>-0.72191513116958</v>
      </c>
      <c r="J137" s="11" t="n">
        <f aca="false">ABS(I137)</f>
        <v>0.72191513116958</v>
      </c>
      <c r="K137" s="14" t="n">
        <f aca="false">(G137-E137)/E137</f>
        <v>-0.034878690503169</v>
      </c>
    </row>
    <row r="138" customFormat="false" ht="15" hidden="false" customHeight="true" outlineLevel="0" collapsed="false">
      <c r="A138" s="6" t="s">
        <v>162</v>
      </c>
      <c r="B138" s="6" t="s">
        <v>133</v>
      </c>
      <c r="C138" s="6" t="s">
        <v>136</v>
      </c>
      <c r="D138" s="13" t="n">
        <v>0.14</v>
      </c>
      <c r="E138" s="13" t="n">
        <v>0.00592</v>
      </c>
      <c r="F138" s="15" t="n">
        <v>0.133598946451</v>
      </c>
      <c r="G138" s="15" t="n">
        <v>0.00526563656631</v>
      </c>
      <c r="H138" s="14" t="n">
        <f aca="false">(F138-D138)/ABS(D138)</f>
        <v>-0.0457218110642857</v>
      </c>
      <c r="I138" s="11" t="n">
        <f aca="false">(F138-D138)/E138</f>
        <v>-1.08125904543919</v>
      </c>
      <c r="J138" s="11" t="n">
        <f aca="false">ABS(I138)</f>
        <v>1.08125904543919</v>
      </c>
      <c r="K138" s="14" t="n">
        <f aca="false">(G138-E138)/E138</f>
        <v>-0.110534363798986</v>
      </c>
    </row>
    <row r="139" customFormat="false" ht="15" hidden="false" customHeight="true" outlineLevel="0" collapsed="false">
      <c r="A139" s="6" t="s">
        <v>162</v>
      </c>
      <c r="B139" s="6" t="s">
        <v>133</v>
      </c>
      <c r="C139" s="6" t="s">
        <v>137</v>
      </c>
      <c r="D139" s="13" t="n">
        <v>8.448</v>
      </c>
      <c r="E139" s="13" t="n">
        <v>0.0869</v>
      </c>
      <c r="F139" s="15" t="n">
        <v>8.4403366483</v>
      </c>
      <c r="G139" s="15" t="n">
        <v>0.0838257528839</v>
      </c>
      <c r="H139" s="14" t="n">
        <f aca="false">(F139-D139)/ABS(D139)</f>
        <v>-0.000907120229640124</v>
      </c>
      <c r="I139" s="11" t="n">
        <f aca="false">(F139-D139)/E139</f>
        <v>-0.0881858653624829</v>
      </c>
      <c r="J139" s="11" t="n">
        <f aca="false">ABS(I139)</f>
        <v>0.0881858653624829</v>
      </c>
      <c r="K139" s="14" t="n">
        <f aca="false">(G139-E139)/E139</f>
        <v>-0.0353768367790565</v>
      </c>
    </row>
    <row r="140" customFormat="false" ht="15" hidden="false" customHeight="true" outlineLevel="0" collapsed="false">
      <c r="A140" s="6" t="s">
        <v>162</v>
      </c>
      <c r="B140" s="6" t="s">
        <v>133</v>
      </c>
      <c r="C140" s="6" t="s">
        <v>138</v>
      </c>
      <c r="D140" s="13" t="n">
        <v>0.159</v>
      </c>
      <c r="E140" s="13"/>
      <c r="F140" s="15" t="n">
        <v>0.160419296413</v>
      </c>
      <c r="G140" s="15"/>
      <c r="H140" s="14" t="n">
        <f aca="false">(F140-D140)/ABS(D140)</f>
        <v>0.00892639253459126</v>
      </c>
      <c r="I140" s="11"/>
      <c r="J140" s="11"/>
      <c r="K140" s="14"/>
    </row>
    <row r="141" customFormat="false" ht="15" hidden="false" customHeight="true" outlineLevel="0" collapsed="false">
      <c r="A141" s="6" t="s">
        <v>162</v>
      </c>
      <c r="B141" s="6" t="s">
        <v>133</v>
      </c>
      <c r="C141" s="6" t="s">
        <v>139</v>
      </c>
      <c r="D141" s="13" t="n">
        <v>0.995</v>
      </c>
      <c r="E141" s="13"/>
      <c r="F141" s="15" t="n">
        <v>0.99456468571</v>
      </c>
      <c r="G141" s="15"/>
      <c r="H141" s="14" t="n">
        <f aca="false">(F141-D141)/ABS(D141)</f>
        <v>-0.000437501798994963</v>
      </c>
      <c r="I141" s="11"/>
      <c r="J141" s="11"/>
      <c r="K141" s="14"/>
    </row>
    <row r="142" customFormat="false" ht="15" hidden="false" customHeight="true" outlineLevel="0" collapsed="false">
      <c r="A142" s="6" t="s">
        <v>163</v>
      </c>
      <c r="B142" s="6" t="s">
        <v>133</v>
      </c>
      <c r="C142" s="6" t="s">
        <v>134</v>
      </c>
      <c r="D142" s="13" t="n">
        <v>3.278</v>
      </c>
      <c r="E142" s="13" t="n">
        <v>0.06</v>
      </c>
      <c r="F142" s="15" t="n">
        <v>3.3090264282</v>
      </c>
      <c r="G142" s="15" t="n">
        <v>0.0574000289878</v>
      </c>
      <c r="H142" s="14" t="n">
        <f aca="false">(F142-D142)/ABS(D142)</f>
        <v>0.00946504826113488</v>
      </c>
      <c r="I142" s="11" t="n">
        <f aca="false">(F142-D142)/E142</f>
        <v>0.517107136666669</v>
      </c>
      <c r="J142" s="11" t="n">
        <f aca="false">ABS(I142)</f>
        <v>0.517107136666669</v>
      </c>
      <c r="K142" s="14" t="n">
        <f aca="false">(G142-E142)/E142</f>
        <v>-0.0433328502033333</v>
      </c>
    </row>
    <row r="143" customFormat="false" ht="15" hidden="false" customHeight="true" outlineLevel="0" collapsed="false">
      <c r="A143" s="6" t="s">
        <v>163</v>
      </c>
      <c r="B143" s="6" t="s">
        <v>133</v>
      </c>
      <c r="C143" s="6" t="s">
        <v>135</v>
      </c>
      <c r="D143" s="13" t="n">
        <v>6.0798</v>
      </c>
      <c r="E143" s="13" t="n">
        <v>0.606</v>
      </c>
      <c r="F143" s="15" t="n">
        <v>5.77437711687</v>
      </c>
      <c r="G143" s="15" t="n">
        <v>0.56066586038</v>
      </c>
      <c r="H143" s="14" t="n">
        <f aca="false">(F143-D143)/ABS(D143)</f>
        <v>-0.0502356793200433</v>
      </c>
      <c r="I143" s="11" t="n">
        <f aca="false">(F143-D143)/E143</f>
        <v>-0.503998156980197</v>
      </c>
      <c r="J143" s="11" t="n">
        <f aca="false">ABS(I143)</f>
        <v>0.503998156980197</v>
      </c>
      <c r="K143" s="14" t="n">
        <f aca="false">(G143-E143)/E143</f>
        <v>-0.0748088112541254</v>
      </c>
    </row>
    <row r="144" customFormat="false" ht="15" hidden="false" customHeight="true" outlineLevel="0" collapsed="false">
      <c r="A144" s="6" t="s">
        <v>163</v>
      </c>
      <c r="B144" s="6" t="s">
        <v>133</v>
      </c>
      <c r="C144" s="6" t="s">
        <v>136</v>
      </c>
      <c r="D144" s="13" t="n">
        <v>0.222</v>
      </c>
      <c r="E144" s="13" t="n">
        <v>0.00619</v>
      </c>
      <c r="F144" s="15" t="n">
        <v>0.2150372589</v>
      </c>
      <c r="G144" s="15" t="n">
        <v>0.00545071492645</v>
      </c>
      <c r="H144" s="14" t="n">
        <f aca="false">(F144-D144)/ABS(D144)</f>
        <v>-0.0313636986486487</v>
      </c>
      <c r="I144" s="11" t="n">
        <f aca="false">(F144-D144)/E144</f>
        <v>-1.12483701130856</v>
      </c>
      <c r="J144" s="11" t="n">
        <f aca="false">ABS(I144)</f>
        <v>1.12483701130856</v>
      </c>
      <c r="K144" s="14" t="n">
        <f aca="false">(G144-E144)/E144</f>
        <v>-0.119432160508885</v>
      </c>
    </row>
    <row r="145" customFormat="false" ht="15" hidden="false" customHeight="true" outlineLevel="0" collapsed="false">
      <c r="A145" s="6" t="s">
        <v>163</v>
      </c>
      <c r="B145" s="6" t="s">
        <v>133</v>
      </c>
      <c r="C145" s="6" t="s">
        <v>137</v>
      </c>
      <c r="D145" s="13" t="n">
        <v>8.492</v>
      </c>
      <c r="E145" s="13" t="n">
        <v>0.0813</v>
      </c>
      <c r="F145" s="15" t="n">
        <v>8.47463834627</v>
      </c>
      <c r="G145" s="15" t="n">
        <v>0.0752267633258</v>
      </c>
      <c r="H145" s="14" t="n">
        <f aca="false">(F145-D145)/ABS(D145)</f>
        <v>-0.00204447170631194</v>
      </c>
      <c r="I145" s="11" t="n">
        <f aca="false">(F145-D145)/E145</f>
        <v>-0.213550476383776</v>
      </c>
      <c r="J145" s="11" t="n">
        <f aca="false">ABS(I145)</f>
        <v>0.213550476383776</v>
      </c>
      <c r="K145" s="14" t="n">
        <f aca="false">(G145-E145)/E145</f>
        <v>-0.0747015581082411</v>
      </c>
    </row>
    <row r="146" customFormat="false" ht="15" hidden="false" customHeight="true" outlineLevel="0" collapsed="false">
      <c r="A146" s="6" t="s">
        <v>163</v>
      </c>
      <c r="B146" s="6" t="s">
        <v>133</v>
      </c>
      <c r="C146" s="6" t="s">
        <v>138</v>
      </c>
      <c r="D146" s="13" t="n">
        <v>0.105</v>
      </c>
      <c r="E146" s="13"/>
      <c r="F146" s="15" t="n">
        <v>0.102107893382</v>
      </c>
      <c r="G146" s="15"/>
      <c r="H146" s="14" t="n">
        <f aca="false">(F146-D146)/ABS(D146)</f>
        <v>-0.0275438725523809</v>
      </c>
      <c r="I146" s="11"/>
      <c r="J146" s="11"/>
      <c r="K146" s="14"/>
    </row>
    <row r="147" customFormat="false" ht="15" hidden="false" customHeight="true" outlineLevel="0" collapsed="false">
      <c r="A147" s="6" t="s">
        <v>163</v>
      </c>
      <c r="B147" s="6" t="s">
        <v>133</v>
      </c>
      <c r="C147" s="6" t="s">
        <v>139</v>
      </c>
      <c r="D147" s="13" t="n">
        <v>0.997</v>
      </c>
      <c r="E147" s="13"/>
      <c r="F147" s="15" t="n">
        <v>0.99749226553</v>
      </c>
      <c r="G147" s="15"/>
      <c r="H147" s="14" t="n">
        <f aca="false">(F147-D147)/ABS(D147)</f>
        <v>0.000493746770310969</v>
      </c>
      <c r="I147" s="11"/>
      <c r="J147" s="11"/>
      <c r="K147" s="14"/>
    </row>
    <row r="148" customFormat="false" ht="15" hidden="false" customHeight="true" outlineLevel="0" collapsed="false">
      <c r="A148" s="6" t="s">
        <v>164</v>
      </c>
      <c r="B148" s="6" t="s">
        <v>133</v>
      </c>
      <c r="C148" s="6" t="s">
        <v>134</v>
      </c>
      <c r="D148" s="13" t="n">
        <v>1.106</v>
      </c>
      <c r="E148" s="13" t="n">
        <v>0.18</v>
      </c>
      <c r="F148" s="15" t="n">
        <v>1.18768897461</v>
      </c>
      <c r="G148" s="15" t="n">
        <v>0.181031368018</v>
      </c>
      <c r="H148" s="14" t="n">
        <f aca="false">(F148-D148)/ABS(D148)</f>
        <v>0.0738598323779383</v>
      </c>
      <c r="I148" s="11" t="n">
        <f aca="false">(F148-D148)/E148</f>
        <v>0.453827636722221</v>
      </c>
      <c r="J148" s="11" t="n">
        <f aca="false">ABS(I148)</f>
        <v>0.453827636722221</v>
      </c>
      <c r="K148" s="14" t="n">
        <f aca="false">(G148-E148)/E148</f>
        <v>0.0057298223222222</v>
      </c>
    </row>
    <row r="149" customFormat="false" ht="15" hidden="false" customHeight="true" outlineLevel="0" collapsed="false">
      <c r="A149" s="6" t="s">
        <v>164</v>
      </c>
      <c r="B149" s="6" t="s">
        <v>133</v>
      </c>
      <c r="C149" s="6" t="s">
        <v>135</v>
      </c>
      <c r="D149" s="13" t="n">
        <v>1.697</v>
      </c>
      <c r="E149" s="13" t="n">
        <v>0.475</v>
      </c>
      <c r="F149" s="15" t="n">
        <v>1.49539781183</v>
      </c>
      <c r="G149" s="15" t="n">
        <v>0.417672372941</v>
      </c>
      <c r="H149" s="14" t="n">
        <f aca="false">(F149-D149)/ABS(D149)</f>
        <v>-0.118799168043606</v>
      </c>
      <c r="I149" s="11" t="n">
        <f aca="false">(F149-D149)/E149</f>
        <v>-0.424425659305263</v>
      </c>
      <c r="J149" s="11" t="n">
        <f aca="false">ABS(I149)</f>
        <v>0.424425659305263</v>
      </c>
      <c r="K149" s="14" t="n">
        <f aca="false">(G149-E149)/E149</f>
        <v>-0.120689741176842</v>
      </c>
    </row>
    <row r="150" customFormat="false" ht="15" hidden="false" customHeight="true" outlineLevel="0" collapsed="false">
      <c r="A150" s="6" t="s">
        <v>164</v>
      </c>
      <c r="B150" s="6" t="s">
        <v>133</v>
      </c>
      <c r="C150" s="6" t="s">
        <v>136</v>
      </c>
      <c r="D150" s="13" t="n">
        <v>0.67</v>
      </c>
      <c r="E150" s="13" t="n">
        <v>0.0296</v>
      </c>
      <c r="F150" s="15" t="n">
        <v>0.634006624104</v>
      </c>
      <c r="G150" s="15" t="n">
        <v>0.0217635047383</v>
      </c>
      <c r="H150" s="14" t="n">
        <f aca="false">(F150-D150)/ABS(D150)</f>
        <v>-0.0537214565611941</v>
      </c>
      <c r="I150" s="11" t="n">
        <f aca="false">(F150-D150)/E150</f>
        <v>-1.21599242891892</v>
      </c>
      <c r="J150" s="11" t="n">
        <f aca="false">ABS(I150)</f>
        <v>1.21599242891892</v>
      </c>
      <c r="K150" s="14" t="n">
        <f aca="false">(G150-E150)/E150</f>
        <v>-0.264746461543919</v>
      </c>
    </row>
    <row r="151" customFormat="false" ht="15" hidden="false" customHeight="true" outlineLevel="0" collapsed="false">
      <c r="A151" s="6" t="s">
        <v>164</v>
      </c>
      <c r="B151" s="6" t="s">
        <v>133</v>
      </c>
      <c r="C151" s="6" t="s">
        <v>137</v>
      </c>
      <c r="D151" s="13" t="n">
        <v>9.253</v>
      </c>
      <c r="E151" s="13" t="n">
        <v>0.233</v>
      </c>
      <c r="F151" s="15" t="n">
        <v>9.10064277848</v>
      </c>
      <c r="G151" s="15" t="n">
        <v>0.173264523974</v>
      </c>
      <c r="H151" s="14" t="n">
        <f aca="false">(F151-D151)/ABS(D151)</f>
        <v>-0.0164657107446235</v>
      </c>
      <c r="I151" s="11" t="n">
        <f aca="false">(F151-D151)/E151</f>
        <v>-0.653893654592278</v>
      </c>
      <c r="J151" s="11" t="n">
        <f aca="false">ABS(I151)</f>
        <v>0.653893654592278</v>
      </c>
      <c r="K151" s="14" t="n">
        <f aca="false">(G151-E151)/E151</f>
        <v>-0.256375433587983</v>
      </c>
    </row>
    <row r="152" customFormat="false" ht="15" hidden="false" customHeight="true" outlineLevel="0" collapsed="false">
      <c r="A152" s="6" t="s">
        <v>164</v>
      </c>
      <c r="B152" s="6" t="s">
        <v>133</v>
      </c>
      <c r="C152" s="6" t="s">
        <v>138</v>
      </c>
      <c r="D152" s="13" t="n">
        <v>0.233</v>
      </c>
      <c r="E152" s="13"/>
      <c r="F152" s="15" t="n">
        <v>0.225124788485</v>
      </c>
      <c r="G152" s="15"/>
      <c r="H152" s="14" t="n">
        <f aca="false">(F152-D152)/ABS(D152)</f>
        <v>-0.0337991910515022</v>
      </c>
      <c r="I152" s="11"/>
      <c r="J152" s="11"/>
      <c r="K152" s="14"/>
    </row>
    <row r="153" customFormat="false" ht="15" hidden="false" customHeight="true" outlineLevel="0" collapsed="false">
      <c r="A153" s="6" t="s">
        <v>164</v>
      </c>
      <c r="B153" s="6" t="s">
        <v>133</v>
      </c>
      <c r="C153" s="6" t="s">
        <v>139</v>
      </c>
      <c r="D153" s="13" t="n">
        <v>0.993</v>
      </c>
      <c r="E153" s="13"/>
      <c r="F153" s="15" t="n">
        <v>0.993767308156</v>
      </c>
      <c r="G153" s="15"/>
      <c r="H153" s="14" t="n">
        <f aca="false">(F153-D153)/ABS(D153)</f>
        <v>0.000772717176233648</v>
      </c>
      <c r="I153" s="11"/>
      <c r="J153" s="11"/>
      <c r="K153" s="14"/>
    </row>
    <row r="154" customFormat="false" ht="15" hidden="false" customHeight="true" outlineLevel="0" collapsed="false">
      <c r="A154" s="6" t="s">
        <v>165</v>
      </c>
      <c r="B154" s="6" t="s">
        <v>133</v>
      </c>
      <c r="C154" s="6" t="s">
        <v>134</v>
      </c>
      <c r="D154" s="13" t="n">
        <v>2.214</v>
      </c>
      <c r="E154" s="13" t="n">
        <v>0.0841</v>
      </c>
      <c r="F154" s="15" t="n">
        <v>2.1850638182</v>
      </c>
      <c r="G154" s="15" t="n">
        <v>0.0619807643836</v>
      </c>
      <c r="H154" s="14" t="n">
        <f aca="false">(F154-D154)/ABS(D154)</f>
        <v>-0.0130696394760613</v>
      </c>
      <c r="I154" s="11" t="n">
        <f aca="false">(F154-D154)/E154</f>
        <v>-0.344068749108202</v>
      </c>
      <c r="J154" s="11" t="n">
        <f aca="false">ABS(I154)</f>
        <v>0.344068749108202</v>
      </c>
      <c r="K154" s="14" t="n">
        <f aca="false">(G154-E154)/E154</f>
        <v>-0.263011125046373</v>
      </c>
    </row>
    <row r="155" customFormat="false" ht="15" hidden="false" customHeight="true" outlineLevel="0" collapsed="false">
      <c r="A155" s="6" t="s">
        <v>165</v>
      </c>
      <c r="B155" s="6" t="s">
        <v>133</v>
      </c>
      <c r="C155" s="6" t="s">
        <v>135</v>
      </c>
      <c r="D155" s="13" t="n">
        <v>0.508</v>
      </c>
      <c r="E155" s="13" t="n">
        <v>0.366</v>
      </c>
      <c r="F155" s="15" t="n">
        <v>0.157574978023</v>
      </c>
      <c r="G155" s="15" t="n">
        <v>0.232274281596</v>
      </c>
      <c r="H155" s="14" t="n">
        <f aca="false">(F155-D155)/ABS(D155)</f>
        <v>-0.689813035387795</v>
      </c>
      <c r="I155" s="11" t="n">
        <f aca="false">(F155-D155)/E155</f>
        <v>-0.957445415237705</v>
      </c>
      <c r="J155" s="11" t="n">
        <f aca="false">ABS(I155)</f>
        <v>0.957445415237705</v>
      </c>
      <c r="K155" s="14" t="n">
        <f aca="false">(G155-E155)/E155</f>
        <v>-0.365370815311475</v>
      </c>
    </row>
    <row r="156" customFormat="false" ht="15" hidden="false" customHeight="true" outlineLevel="0" collapsed="false">
      <c r="A156" s="6" t="s">
        <v>165</v>
      </c>
      <c r="B156" s="6" t="s">
        <v>133</v>
      </c>
      <c r="C156" s="6" t="s">
        <v>136</v>
      </c>
      <c r="D156" s="13" t="n">
        <v>0.383</v>
      </c>
      <c r="E156" s="13" t="n">
        <v>0.00859</v>
      </c>
      <c r="F156" s="15" t="n">
        <v>0.369525410647</v>
      </c>
      <c r="G156" s="15" t="n">
        <v>0.00479074805066</v>
      </c>
      <c r="H156" s="14" t="n">
        <f aca="false">(F156-D156)/ABS(D156)</f>
        <v>-0.0351816954386423</v>
      </c>
      <c r="I156" s="11" t="n">
        <f aca="false">(F156-D156)/E156</f>
        <v>-1.56863671164144</v>
      </c>
      <c r="J156" s="11" t="n">
        <f aca="false">ABS(I156)</f>
        <v>1.56863671164144</v>
      </c>
      <c r="K156" s="14" t="n">
        <f aca="false">(G156-E156)/E156</f>
        <v>-0.442287770586729</v>
      </c>
    </row>
    <row r="157" customFormat="false" ht="15" hidden="false" customHeight="true" outlineLevel="0" collapsed="false">
      <c r="A157" s="6" t="s">
        <v>165</v>
      </c>
      <c r="B157" s="6" t="s">
        <v>133</v>
      </c>
      <c r="C157" s="6" t="s">
        <v>137</v>
      </c>
      <c r="D157" s="13" t="n">
        <v>9.332</v>
      </c>
      <c r="E157" s="13" t="n">
        <v>0.069</v>
      </c>
      <c r="F157" s="15" t="n">
        <v>9.22483062757</v>
      </c>
      <c r="G157" s="15" t="n">
        <v>0.0383784884471</v>
      </c>
      <c r="H157" s="14" t="n">
        <f aca="false">(F157-D157)/ABS(D157)</f>
        <v>-0.0114840733422632</v>
      </c>
      <c r="I157" s="11" t="n">
        <f aca="false">(F157-D157)/E157</f>
        <v>-1.55317931057972</v>
      </c>
      <c r="J157" s="11" t="n">
        <f aca="false">ABS(I157)</f>
        <v>1.55317931057972</v>
      </c>
      <c r="K157" s="14" t="n">
        <f aca="false">(G157-E157)/E157</f>
        <v>-0.443790022505797</v>
      </c>
    </row>
    <row r="158" customFormat="false" ht="15" hidden="false" customHeight="true" outlineLevel="0" collapsed="false">
      <c r="A158" s="6" t="s">
        <v>165</v>
      </c>
      <c r="B158" s="6" t="s">
        <v>133</v>
      </c>
      <c r="C158" s="6" t="s">
        <v>138</v>
      </c>
      <c r="D158" s="13" t="n">
        <v>0.0896</v>
      </c>
      <c r="E158" s="13"/>
      <c r="F158" s="15" t="n">
        <v>0.0627600892665</v>
      </c>
      <c r="G158" s="15"/>
      <c r="H158" s="14" t="n">
        <f aca="false">(F158-D158)/ABS(D158)</f>
        <v>-0.29955257515067</v>
      </c>
      <c r="I158" s="11"/>
      <c r="J158" s="11"/>
      <c r="K158" s="14"/>
    </row>
    <row r="159" customFormat="false" ht="15" hidden="false" customHeight="true" outlineLevel="0" collapsed="false">
      <c r="A159" s="6" t="s">
        <v>165</v>
      </c>
      <c r="B159" s="6" t="s">
        <v>133</v>
      </c>
      <c r="C159" s="6" t="s">
        <v>139</v>
      </c>
      <c r="D159" s="13" t="n">
        <v>0.999</v>
      </c>
      <c r="E159" s="13"/>
      <c r="F159" s="15" t="n">
        <v>0.999381523386</v>
      </c>
      <c r="G159" s="15"/>
      <c r="H159" s="14" t="n">
        <f aca="false">(F159-D159)/ABS(D159)</f>
        <v>0.00038190529129124</v>
      </c>
      <c r="I159" s="11"/>
      <c r="J159" s="11"/>
      <c r="K15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166</v>
      </c>
    </row>
    <row r="2" customFormat="false" ht="15" hidden="false" customHeight="true" outlineLevel="0" collapsed="false">
      <c r="A2" s="3" t="s">
        <v>167</v>
      </c>
    </row>
    <row r="3" customFormat="false" ht="15" hidden="false" customHeight="true" outlineLevel="0" collapsed="false">
      <c r="A3" s="3" t="s">
        <v>168</v>
      </c>
    </row>
    <row r="5" customFormat="false" ht="15" hidden="false" customHeight="true" outlineLevel="0" collapsed="false">
      <c r="A5" s="9" t="s">
        <v>169</v>
      </c>
    </row>
    <row r="6" customFormat="false" ht="15" hidden="false" customHeight="true" outlineLevel="0" collapsed="false">
      <c r="A6" s="16" t="s">
        <v>35</v>
      </c>
      <c r="B6" s="16" t="s">
        <v>126</v>
      </c>
      <c r="C6" s="16" t="s">
        <v>37</v>
      </c>
      <c r="D6" s="16" t="s">
        <v>128</v>
      </c>
    </row>
    <row r="7" customFormat="false" ht="15" hidden="false" customHeight="true" outlineLevel="0" collapsed="false">
      <c r="A7" s="6" t="s">
        <v>170</v>
      </c>
      <c r="B7" s="13" t="n">
        <v>2.552</v>
      </c>
      <c r="C7" s="17" t="n">
        <v>2.551739546</v>
      </c>
      <c r="D7" s="14" t="n">
        <f aca="false">(C7-B7)/ABS(B7)</f>
        <v>-0.000102058777429541</v>
      </c>
    </row>
    <row r="8" customFormat="false" ht="15" hidden="false" customHeight="true" outlineLevel="0" collapsed="false">
      <c r="A8" s="6" t="s">
        <v>171</v>
      </c>
      <c r="B8" s="13" t="n">
        <v>0.452</v>
      </c>
      <c r="C8" s="17" t="n">
        <v>0.4523725719</v>
      </c>
      <c r="D8" s="14" t="n">
        <f aca="false">(C8-B8)/ABS(B8)</f>
        <v>0.000824274115044264</v>
      </c>
    </row>
    <row r="9" customFormat="false" ht="15" hidden="false" customHeight="true" outlineLevel="0" collapsed="false">
      <c r="A9" s="6" t="s">
        <v>172</v>
      </c>
      <c r="B9" s="13" t="n">
        <v>0.0333</v>
      </c>
      <c r="C9" s="17" t="n">
        <v>0.03329766179</v>
      </c>
      <c r="D9" s="14" t="n">
        <f aca="false">(C9-B9)/ABS(B9)</f>
        <v>-7.02165165165484E-005</v>
      </c>
    </row>
    <row r="10" customFormat="false" ht="15" hidden="false" customHeight="true" outlineLevel="0" collapsed="false">
      <c r="A10" s="6" t="s">
        <v>173</v>
      </c>
      <c r="B10" s="13" t="n">
        <v>0.00349</v>
      </c>
      <c r="C10" s="17" t="n">
        <v>0.003485097598</v>
      </c>
      <c r="D10" s="14" t="n">
        <f aca="false">(C10-B10)/ABS(B10)</f>
        <v>-0.00140469971346702</v>
      </c>
    </row>
    <row r="11" customFormat="false" ht="15" hidden="false" customHeight="true" outlineLevel="0" collapsed="false">
      <c r="A11" s="6" t="s">
        <v>138</v>
      </c>
      <c r="B11" s="13" t="n">
        <v>0.768</v>
      </c>
      <c r="C11" s="17" t="n">
        <v>0.7680833491</v>
      </c>
      <c r="D11" s="14" t="n">
        <f aca="false">(C11-B11)/ABS(B11)</f>
        <v>0.000108527473958285</v>
      </c>
    </row>
    <row r="12" customFormat="false" ht="15" hidden="false" customHeight="true" outlineLevel="0" collapsed="false">
      <c r="A12" s="6" t="s">
        <v>139</v>
      </c>
      <c r="B12" s="13" t="n">
        <v>0.909</v>
      </c>
      <c r="C12" s="17" t="n">
        <v>0.9093515139</v>
      </c>
      <c r="D12" s="14" t="n">
        <f aca="false">(C12-B12)/ABS(B12)</f>
        <v>0.000386703960396027</v>
      </c>
    </row>
    <row r="14" customFormat="false" ht="15" hidden="false" customHeight="true" outlineLevel="0" collapsed="false">
      <c r="A14" s="9" t="s">
        <v>174</v>
      </c>
    </row>
    <row r="15" customFormat="false" ht="34.5" hidden="false" customHeight="true" outlineLevel="0" collapsed="false">
      <c r="A15" s="16" t="s">
        <v>35</v>
      </c>
      <c r="B15" s="16" t="s">
        <v>126</v>
      </c>
      <c r="C15" s="16" t="s">
        <v>175</v>
      </c>
      <c r="D15" s="16" t="s">
        <v>128</v>
      </c>
    </row>
    <row r="16" customFormat="false" ht="15" hidden="false" customHeight="true" outlineLevel="0" collapsed="false">
      <c r="A16" s="6" t="s">
        <v>170</v>
      </c>
      <c r="B16" s="13" t="n">
        <v>2.294</v>
      </c>
      <c r="C16" s="17" t="n">
        <v>2.303124238</v>
      </c>
      <c r="D16" s="14" t="n">
        <f aca="false">(C16-B16)/ABS(B16)</f>
        <v>0.00397743591979079</v>
      </c>
    </row>
    <row r="17" customFormat="false" ht="15" hidden="false" customHeight="true" outlineLevel="0" collapsed="false">
      <c r="A17" s="6" t="s">
        <v>171</v>
      </c>
      <c r="B17" s="13" t="n">
        <v>0.0987</v>
      </c>
      <c r="C17" s="17" t="n">
        <v>0.07433152401</v>
      </c>
      <c r="D17" s="14" t="n">
        <f aca="false">(C17-B17)/ABS(B17)</f>
        <v>-0.246894386930091</v>
      </c>
    </row>
    <row r="18" customFormat="false" ht="15" hidden="false" customHeight="true" outlineLevel="0" collapsed="false">
      <c r="A18" s="6" t="s">
        <v>176</v>
      </c>
      <c r="B18" s="13" t="n">
        <v>23.119</v>
      </c>
      <c r="C18" s="17" t="n">
        <v>19.95886855</v>
      </c>
      <c r="D18" s="14" t="n">
        <f aca="false">(C18-B18)/ABS(B18)</f>
        <v>-0.136689798434188</v>
      </c>
    </row>
    <row r="19" customFormat="false" ht="15" hidden="false" customHeight="true" outlineLevel="0" collapsed="false">
      <c r="A19" s="6" t="s">
        <v>177</v>
      </c>
      <c r="B19" s="13" t="n">
        <v>3.52</v>
      </c>
      <c r="C19" s="17" t="n">
        <v>2.462385382</v>
      </c>
      <c r="D19" s="14" t="n">
        <f aca="false">(C19-B19)/ABS(B19)</f>
        <v>-0.300458698295455</v>
      </c>
    </row>
    <row r="20" customFormat="false" ht="15" hidden="false" customHeight="true" outlineLevel="0" collapsed="false">
      <c r="A20" s="6" t="s">
        <v>172</v>
      </c>
      <c r="B20" s="13" t="n">
        <v>0.0539</v>
      </c>
      <c r="C20" s="17" t="n">
        <v>0.05112806387</v>
      </c>
      <c r="D20" s="14" t="n">
        <f aca="false">(C20-B20)/ABS(B20)</f>
        <v>-0.0514273864564009</v>
      </c>
    </row>
    <row r="21" customFormat="false" ht="15" hidden="false" customHeight="true" outlineLevel="0" collapsed="false">
      <c r="A21" s="6" t="s">
        <v>173</v>
      </c>
      <c r="B21" s="13" t="n">
        <v>0.00198</v>
      </c>
      <c r="C21" s="17" t="n">
        <v>0.001190005295</v>
      </c>
      <c r="D21" s="14" t="n">
        <f aca="false">(C21-B21)/ABS(B21)</f>
        <v>-0.398987224747475</v>
      </c>
    </row>
    <row r="22" customFormat="false" ht="15" hidden="false" customHeight="true" outlineLevel="0" collapsed="false">
      <c r="A22" s="6" t="s">
        <v>178</v>
      </c>
      <c r="B22" s="13" t="n">
        <v>8.659</v>
      </c>
      <c r="C22" s="17" t="n">
        <v>8.638768228</v>
      </c>
      <c r="D22" s="14" t="n">
        <f aca="false">(C22-B22)/ABS(B22)</f>
        <v>-0.00233650213650545</v>
      </c>
    </row>
    <row r="23" customFormat="false" ht="15" hidden="false" customHeight="true" outlineLevel="0" collapsed="false">
      <c r="A23" s="6" t="s">
        <v>179</v>
      </c>
      <c r="B23" s="13" t="n">
        <v>0.0649</v>
      </c>
      <c r="C23" s="17" t="n">
        <v>0.04517591406</v>
      </c>
      <c r="D23" s="14" t="n">
        <f aca="false">(C23-B23)/ABS(B23)</f>
        <v>-0.303915037596302</v>
      </c>
    </row>
    <row r="24" customFormat="false" ht="15" hidden="false" customHeight="true" outlineLevel="0" collapsed="false">
      <c r="A24" s="6" t="s">
        <v>138</v>
      </c>
      <c r="B24" s="13" t="n">
        <v>0.108</v>
      </c>
      <c r="C24" s="17" t="n">
        <v>0.07832024963</v>
      </c>
      <c r="D24" s="14" t="n">
        <f aca="false">(C24-B24)/ABS(B24)</f>
        <v>-0.274812503425926</v>
      </c>
    </row>
    <row r="25" customFormat="false" ht="15" hidden="false" customHeight="true" outlineLevel="0" collapsed="false">
      <c r="A25" s="6" t="s">
        <v>139</v>
      </c>
      <c r="B25" s="13" t="n">
        <v>0.998</v>
      </c>
      <c r="C25" s="17" t="n">
        <v>0.9990574769</v>
      </c>
      <c r="D25" s="14" t="n">
        <f aca="false">(C25-B25)/ABS(B25)</f>
        <v>0.00105959609218439</v>
      </c>
    </row>
    <row r="27" customFormat="false" ht="15" hidden="false" customHeight="true" outlineLevel="0" collapsed="false">
      <c r="A27" s="9" t="s">
        <v>180</v>
      </c>
    </row>
    <row r="28" customFormat="false" ht="23.25" hidden="false" customHeight="true" outlineLevel="0" collapsed="false">
      <c r="A28" s="16" t="s">
        <v>181</v>
      </c>
      <c r="B28" s="16" t="s">
        <v>182</v>
      </c>
      <c r="C28" s="16" t="s">
        <v>183</v>
      </c>
      <c r="D28" s="16" t="s">
        <v>184</v>
      </c>
    </row>
    <row r="29" customFormat="false" ht="15" hidden="false" customHeight="true" outlineLevel="0" collapsed="false">
      <c r="A29" s="6" t="s">
        <v>185</v>
      </c>
      <c r="B29" s="13" t="n">
        <v>0.07654343255</v>
      </c>
      <c r="C29" s="17" t="n">
        <v>0.03680436901</v>
      </c>
      <c r="D29" s="18" t="n">
        <f aca="false">C29/B29</f>
        <v>0.480829873757732</v>
      </c>
    </row>
    <row r="30" customFormat="false" ht="15" hidden="false" customHeight="true" outlineLevel="0" collapsed="false">
      <c r="A30" s="6" t="s">
        <v>186</v>
      </c>
      <c r="B30" s="13" t="n">
        <v>0.4058254804</v>
      </c>
      <c r="C30" s="17" t="n">
        <v>0.1951330145</v>
      </c>
      <c r="D30" s="18" t="n">
        <f aca="false">C30/B30</f>
        <v>0.480829873737026</v>
      </c>
    </row>
    <row r="31" customFormat="false" ht="15" hidden="false" customHeight="true" outlineLevel="0" collapsed="false">
      <c r="A31" s="6" t="s">
        <v>187</v>
      </c>
      <c r="B31" s="13" t="n">
        <v>0.6512986871</v>
      </c>
      <c r="C31" s="17" t="n">
        <v>0.5247852377</v>
      </c>
      <c r="D31" s="18" t="n">
        <f aca="false">C31/B31</f>
        <v>0.805752027593792</v>
      </c>
    </row>
    <row r="32" customFormat="false" ht="15" hidden="false" customHeight="true" outlineLevel="0" collapsed="false">
      <c r="A32" s="6" t="s">
        <v>188</v>
      </c>
      <c r="B32" s="13" t="n">
        <v>0.2040371359</v>
      </c>
      <c r="C32" s="17" t="n">
        <v>0.1095107006</v>
      </c>
      <c r="D32" s="18" t="n">
        <f aca="false">C32/B32</f>
        <v>0.536719456078191</v>
      </c>
    </row>
    <row r="34" customFormat="false" ht="15" hidden="false" customHeight="true" outlineLevel="0" collapsed="false">
      <c r="A34" s="3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2026-10-14T19:10:30Z</dcterms:created>
  <dc:creator>openpyxl</dc:creator>
  <dc:description/>
  <dc:language>en-US</dc:language>
  <cp:lastModifiedBy/>
  <dcterms:modified xsi:type="dcterms:W3CDTF">2026-10-25T17:30:36Z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